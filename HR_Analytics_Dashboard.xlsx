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45B\EXCELCNV\1fde11d4-5216-4eb0-8b75-b807f0a21f62\"/>
    </mc:Choice>
  </mc:AlternateContent>
  <xr:revisionPtr revIDLastSave="0" documentId="8_{6AB08F5C-BB47-4AF8-A4D0-5175CF5F7DDC}" xr6:coauthVersionLast="47" xr6:coauthVersionMax="47" xr10:uidLastSave="{00000000-0000-0000-0000-000000000000}"/>
  <bookViews>
    <workbookView xWindow="-60" yWindow="-60" windowWidth="15480" windowHeight="11640" firstSheet="1" activeTab="1" xr2:uid="{436C6685-F977-4D98-AB57-EA5CE5B7FC6E}"/>
  </bookViews>
  <sheets>
    <sheet name="EmployeesTable" sheetId="1" r:id="rId1"/>
    <sheet name="Dashboard" sheetId="2" r:id="rId2"/>
    <sheet name="Pivot Tables" sheetId="3" r:id="rId3"/>
  </sheets>
  <definedNames>
    <definedName name="Slicer_Department">#N/A</definedName>
    <definedName name="Slicer_Gender">#N/A</definedName>
    <definedName name="Slicer_JobRole">#N/A</definedName>
  </definedNames>
  <calcPr calcId="191028"/>
  <pivotCaches>
    <pivotCache cacheId="55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4" i="2"/>
  <c r="B7" i="2"/>
  <c r="D46" i="3"/>
  <c r="G46" i="3" s="1"/>
  <c r="D45" i="3"/>
  <c r="G45" i="3" s="1"/>
  <c r="B4" i="2"/>
  <c r="E22" i="3"/>
  <c r="E21" i="3"/>
  <c r="E20" i="3"/>
  <c r="B13" i="3"/>
  <c r="B12" i="3"/>
  <c r="B14" i="3"/>
  <c r="D4" i="2" s="1"/>
</calcChain>
</file>

<file path=xl/sharedStrings.xml><?xml version="1.0" encoding="utf-8"?>
<sst xmlns="http://schemas.openxmlformats.org/spreadsheetml/2006/main" count="13321" uniqueCount="80">
  <si>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</si>
  <si>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</si>
  <si>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</si>
  <si>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</si>
  <si>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</si>
  <si>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</si>
  <si>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</si>
  <si>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</si>
  <si>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</si>
  <si>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</si>
  <si>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</si>
  <si>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</si>
  <si>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</si>
  <si>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</si>
  <si>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</si>
  <si>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</si>
  <si>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</si>
  <si>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</si>
  <si>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</si>
  <si>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</si>
  <si>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</si>
  <si>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</si>
  <si>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</si>
  <si>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</si>
  <si>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</si>
  <si>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</si>
  <si>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</si>
  <si>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</si>
  <si>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</si>
  <si>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</si>
  <si>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</si>
  <si>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</si>
  <si>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</si>
  <si>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</si>
  <si>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</si>
  <si>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</si>
  <si>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</si>
  <si>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</si>
  <si>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</si>
  <si>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</si>
  <si>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</si>
  <si>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</si>
  <si>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</si>
  <si>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</si>
  <si>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</si>
  <si>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</si>
  <si>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</si>
  <si>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</si>
  <si>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</si>
  <si>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</si>
  <si>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</si>
  <si>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</si>
  <si>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</si>
  <si>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</si>
  <si>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</si>
  <si>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</si>
  <si>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</si>
  <si>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</si>
  <si>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</si>
  <si>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</si>
  <si>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</si>
  <si>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</si>
  <si>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HR Analytics Dashboard﻿</t>
  </si>
  <si>
    <t xml:space="preserve">  TOTAL EMPLOYEES</t>
  </si>
  <si>
    <t xml:space="preserve">   ATTRITION RATE</t>
  </si>
  <si>
    <t xml:space="preserve">   AVERAGE EMPLOYEE INCOME</t>
  </si>
  <si>
    <t xml:space="preserve">     AVERAGE EMPLOYEE AGE</t>
  </si>
  <si>
    <t xml:space="preserve">      EMPLOYEE YEARS AT COMPANY</t>
  </si>
  <si>
    <t>Total Employees</t>
  </si>
  <si>
    <t>Count of Attrition</t>
  </si>
  <si>
    <t>Grand Total</t>
  </si>
  <si>
    <t xml:space="preserve">Employees Who Left: </t>
  </si>
  <si>
    <t>Total Employees:</t>
  </si>
  <si>
    <t>Attrition Rate:</t>
  </si>
  <si>
    <t>Count of EmployeeCount</t>
  </si>
  <si>
    <t>Attrition Rate</t>
  </si>
  <si>
    <t>Employee Count</t>
  </si>
  <si>
    <t>Average of Age</t>
  </si>
  <si>
    <t>Average of MonthlyIncome</t>
  </si>
  <si>
    <t>Average of YearsAtCompany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</si>
</sst>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"/>
    <numFmt numFmtId="167" formatCode="0.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4" tint="-0.249977111117893"/>
      <name val="Calibri"/>
      <scheme val="minor"/>
    </font>
    <font>
      <b/>
      <sz val="18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36"/>
      <color theme="4" tint="-0.499984740745262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indexed="65"/>
        <bgColor rgb="FFF2F2F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pivotButton="1"/>
    <xf numFmtId="0" fontId="16" fillId="0" borderId="0" xfId="0" applyFont="1"/>
    <xf numFmtId="0" fontId="10" fillId="6" borderId="5" xfId="10"/>
    <xf numFmtId="10" fontId="10" fillId="6" borderId="5" xfId="10" applyNumberFormat="1"/>
    <xf numFmtId="0" fontId="16" fillId="10" borderId="0" xfId="19" applyFont="1"/>
    <xf numFmtId="1" fontId="0" fillId="0" borderId="0" xfId="0" applyNumberFormat="1"/>
    <xf numFmtId="164" fontId="0" fillId="0" borderId="0" xfId="0" applyNumberFormat="1"/>
    <xf numFmtId="165" fontId="10" fillId="6" borderId="5" xfId="10" applyNumberFormat="1"/>
    <xf numFmtId="165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5" fontId="19" fillId="0" borderId="10" xfId="0" applyNumberFormat="1" applyFont="1" applyBorder="1" applyAlignment="1">
      <alignment horizontal="center"/>
    </xf>
    <xf numFmtId="10" fontId="19" fillId="0" borderId="10" xfId="0" applyNumberFormat="1" applyFont="1" applyBorder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166" fontId="19" fillId="0" borderId="10" xfId="0" applyNumberFormat="1" applyFont="1" applyBorder="1" applyAlignment="1">
      <alignment horizontal="center"/>
    </xf>
    <xf numFmtId="165" fontId="10" fillId="34" borderId="5" xfId="0" applyNumberFormat="1" applyFont="1" applyFill="1" applyBorder="1"/>
    <xf numFmtId="0" fontId="0" fillId="0" borderId="0" xfId="0" applyAlignment="1">
      <alignment wrapText="1"/>
    </xf>
    <xf numFmtId="0" fontId="21" fillId="0" borderId="0" xfId="0" applyFont="1" applyAlignment="1">
      <alignment horizontal="center"/>
    </xf>
    <xf numFmtId="0" fontId="0" fillId="0" borderId="0" xfId="0" applyNumberFormat="1"/>
    <xf numFmtId="0" fontId="10" fillId="34" borderId="5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rgb="FFF2F2F2"/>
          <bgColor indexed="65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5" formatCode="_(* #,##0_);_(* \(#,##0\);_(* &quot;-&quot;??_);_(@_)"/>
    </dxf>
    <dxf>
      <numFmt numFmtId="164" formatCode="_(&quot;$&quot;* #,##0_);_(&quot;$&quot;* \(#,##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rgb="FFF2F2F2"/>
          <bgColor indexed="65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5" formatCode="_(* #,##0_);_(* \(#,##0\);_(* &quot;-&quot;??_);_(@_)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rgb="FFF2F2F2"/>
          <bgColor indexed="65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Calibri"/>
        <family val="2"/>
        <scheme val="minor"/>
      </font>
      <fill>
        <patternFill patternType="solid">
          <fgColor rgb="FFF2F2F2"/>
          <bgColor indexed="65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30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Count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30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Tables'!$A$30:$A$39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Tables'!$B$30:$B$39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0-457C-869C-1D53CFE7D9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4425735"/>
        <c:axId val="1117572615"/>
      </c:barChart>
      <c:catAx>
        <c:axId val="564425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572615"/>
        <c:crosses val="autoZero"/>
        <c:auto val="1"/>
        <c:lblAlgn val="ctr"/>
        <c:lblOffset val="100"/>
        <c:noMultiLvlLbl val="0"/>
      </c:catAx>
      <c:valAx>
        <c:axId val="1117572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25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[HR_Analytics_Dashboard.xlsx]Pivot Tables!PivotTable3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30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30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Tables'!$B$18:$B$19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Tables'!$A$20:$A$23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Tables'!$B$20:$B$23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6-4D86-8A7D-80F386F2734D}"/>
            </c:ext>
          </c:extLst>
        </c:ser>
        <c:ser>
          <c:idx val="1"/>
          <c:order val="1"/>
          <c:tx>
            <c:strRef>
              <c:f>'Pivot Tables'!$C$18:$C$19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Tables'!$A$20:$A$23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Tables'!$C$20:$C$23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6-4D86-8A7D-80F386F273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3348999"/>
        <c:axId val="1565155335"/>
      </c:barChart>
      <c:catAx>
        <c:axId val="1443348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155335"/>
        <c:crosses val="autoZero"/>
        <c:auto val="1"/>
        <c:lblAlgn val="ctr"/>
        <c:lblOffset val="100"/>
        <c:noMultiLvlLbl val="0"/>
      </c:catAx>
      <c:valAx>
        <c:axId val="1565155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34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30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Rate by Overtime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30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Tables'!$G$44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Tables'!$F$45:$F$46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Tables'!$G$45:$G$46</c:f>
              <c:numCache>
                <c:formatCode>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B-477D-9268-58B84986F2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393607"/>
        <c:axId val="26395655"/>
      </c:barChart>
      <c:catAx>
        <c:axId val="26393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5655"/>
        <c:crosses val="autoZero"/>
        <c:auto val="1"/>
        <c:lblAlgn val="ctr"/>
        <c:lblOffset val="100"/>
        <c:noMultiLvlLbl val="0"/>
      </c:catAx>
      <c:valAx>
        <c:axId val="26395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Rate by Overtime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Tables'!$G$44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Tables'!$F$45:$F$46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Tables'!$G$45:$G$46</c:f>
              <c:numCache>
                <c:formatCode>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2-4FAE-9392-D1EA3F30F5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393607"/>
        <c:axId val="26395655"/>
      </c:barChart>
      <c:catAx>
        <c:axId val="26393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5655"/>
        <c:crosses val="autoZero"/>
        <c:auto val="1"/>
        <c:lblAlgn val="ctr"/>
        <c:lblOffset val="100"/>
        <c:noMultiLvlLbl val="0"/>
      </c:catAx>
      <c:valAx>
        <c:axId val="26395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8</xdr:row>
      <xdr:rowOff>95250</xdr:rowOff>
    </xdr:from>
    <xdr:to>
      <xdr:col>9</xdr:col>
      <xdr:colOff>190500</xdr:colOff>
      <xdr:row>8</xdr:row>
      <xdr:rowOff>95250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1B2B83F-5F8C-90F6-8F86-FBE49ADAF91C}"/>
            </a:ext>
          </a:extLst>
        </xdr:cNvPr>
        <xdr:cNvCxnSpPr>
          <a:cxnSpLocks/>
        </xdr:cNvCxnSpPr>
      </xdr:nvCxnSpPr>
      <xdr:spPr>
        <a:xfrm>
          <a:off x="28575" y="2038350"/>
          <a:ext cx="7886700" cy="0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9</xdr:row>
      <xdr:rowOff>9525</xdr:rowOff>
    </xdr:from>
    <xdr:to>
      <xdr:col>9</xdr:col>
      <xdr:colOff>542925</xdr:colOff>
      <xdr:row>27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66891F-1B08-44FC-B812-184BF7EA40B4}"/>
            </a:ext>
            <a:ext uri="{147F2762-F138-4A5C-976F-8EAC2B608ADB}">
              <a16:predDERef xmlns:a16="http://schemas.microsoft.com/office/drawing/2014/main" pred="{C1B2B83F-5F8C-90F6-8F86-FBE49ADAF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590550</xdr:colOff>
      <xdr:row>8</xdr:row>
      <xdr:rowOff>161925</xdr:rowOff>
    </xdr:from>
    <xdr:to>
      <xdr:col>4</xdr:col>
      <xdr:colOff>285750</xdr:colOff>
      <xdr:row>27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913B6E-C068-4951-A794-49ACF64AD0DC}"/>
            </a:ext>
            <a:ext uri="{147F2762-F138-4A5C-976F-8EAC2B608ADB}">
              <a16:predDERef xmlns:a16="http://schemas.microsoft.com/office/drawing/2014/main" pred="{4E66891F-1B08-44FC-B812-184BF7EA4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28</xdr:row>
      <xdr:rowOff>0</xdr:rowOff>
    </xdr:from>
    <xdr:to>
      <xdr:col>4</xdr:col>
      <xdr:colOff>323850</xdr:colOff>
      <xdr:row>46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A2917F-DB47-4EF0-A3D9-8EDAA3B5445F}"/>
            </a:ext>
            <a:ext uri="{147F2762-F138-4A5C-976F-8EAC2B608ADB}">
              <a16:predDERef xmlns:a16="http://schemas.microsoft.com/office/drawing/2014/main" pred="{7F913B6E-C068-4951-A794-49ACF64AD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2</xdr:row>
      <xdr:rowOff>38100</xdr:rowOff>
    </xdr:from>
    <xdr:to>
      <xdr:col>1</xdr:col>
      <xdr:colOff>247650</xdr:colOff>
      <xdr:row>2</xdr:row>
      <xdr:rowOff>276225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73A102D1-4D64-88AB-E0B9-2186A8342A61}"/>
            </a:ext>
            <a:ext uri="{147F2762-F138-4A5C-976F-8EAC2B608ADB}">
              <a16:predDERef xmlns:a16="http://schemas.microsoft.com/office/drawing/2014/main" pred="{5BA2917F-DB47-4EF0-A3D9-8EDAA3B5445F}"/>
            </a:ext>
          </a:extLst>
        </xdr:cNvPr>
        <xdr:cNvSpPr/>
      </xdr:nvSpPr>
      <xdr:spPr>
        <a:xfrm>
          <a:off x="657225" y="819150"/>
          <a:ext cx="200025" cy="238125"/>
        </a:xfrm>
        <a:prstGeom prst="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1314450</xdr:colOff>
      <xdr:row>2</xdr:row>
      <xdr:rowOff>28575</xdr:rowOff>
    </xdr:from>
    <xdr:to>
      <xdr:col>3</xdr:col>
      <xdr:colOff>180975</xdr:colOff>
      <xdr:row>2</xdr:row>
      <xdr:rowOff>266700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DD788B67-2356-410C-8CF7-EEFB6B3D9019}"/>
            </a:ext>
            <a:ext uri="{147F2762-F138-4A5C-976F-8EAC2B608ADB}">
              <a16:predDERef xmlns:a16="http://schemas.microsoft.com/office/drawing/2014/main" pred="{73A102D1-4D64-88AB-E0B9-2186A8342A61}"/>
            </a:ext>
          </a:extLst>
        </xdr:cNvPr>
        <xdr:cNvSpPr/>
      </xdr:nvSpPr>
      <xdr:spPr>
        <a:xfrm>
          <a:off x="4114800" y="809625"/>
          <a:ext cx="200025" cy="23812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1028700</xdr:colOff>
      <xdr:row>2</xdr:row>
      <xdr:rowOff>28575</xdr:rowOff>
    </xdr:from>
    <xdr:to>
      <xdr:col>5</xdr:col>
      <xdr:colOff>104775</xdr:colOff>
      <xdr:row>2</xdr:row>
      <xdr:rowOff>266700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24C3E496-AD83-4B03-8B63-EAF6205B24D9}"/>
            </a:ext>
            <a:ext uri="{147F2762-F138-4A5C-976F-8EAC2B608ADB}">
              <a16:predDERef xmlns:a16="http://schemas.microsoft.com/office/drawing/2014/main" pred="{DD788B67-2356-410C-8CF7-EEFB6B3D9019}"/>
            </a:ext>
          </a:extLst>
        </xdr:cNvPr>
        <xdr:cNvSpPr/>
      </xdr:nvSpPr>
      <xdr:spPr>
        <a:xfrm>
          <a:off x="8077200" y="809625"/>
          <a:ext cx="200025" cy="238125"/>
        </a:xfrm>
        <a:prstGeom prst="rightArrow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4</xdr:col>
      <xdr:colOff>447675</xdr:colOff>
      <xdr:row>28</xdr:row>
      <xdr:rowOff>9525</xdr:rowOff>
    </xdr:from>
    <xdr:to>
      <xdr:col>5</xdr:col>
      <xdr:colOff>1438275</xdr:colOff>
      <xdr:row>33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Department 1">
              <a:extLst>
                <a:ext uri="{FF2B5EF4-FFF2-40B4-BE49-F238E27FC236}">
                  <a16:creationId xmlns:a16="http://schemas.microsoft.com/office/drawing/2014/main" id="{6C73E9AA-9B51-9A5A-1849-67237E6202A7}"/>
                </a:ext>
                <a:ext uri="{147F2762-F138-4A5C-976F-8EAC2B608ADB}">
                  <a16:predDERef xmlns:a16="http://schemas.microsoft.com/office/drawing/2014/main" pred="{24C3E496-AD83-4B03-8B63-EAF6205B24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6175" y="6162675"/>
              <a:ext cx="2114550" cy="1057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1495425</xdr:colOff>
      <xdr:row>28</xdr:row>
      <xdr:rowOff>9525</xdr:rowOff>
    </xdr:from>
    <xdr:to>
      <xdr:col>5</xdr:col>
      <xdr:colOff>3057525</xdr:colOff>
      <xdr:row>33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Gender 1">
              <a:extLst>
                <a:ext uri="{FF2B5EF4-FFF2-40B4-BE49-F238E27FC236}">
                  <a16:creationId xmlns:a16="http://schemas.microsoft.com/office/drawing/2014/main" id="{52745257-C913-0F5A-8597-5354E4471527}"/>
                </a:ext>
                <a:ext uri="{147F2762-F138-4A5C-976F-8EAC2B608ADB}">
                  <a16:predDERef xmlns:a16="http://schemas.microsoft.com/office/drawing/2014/main" pred="{6C73E9AA-9B51-9A5A-1849-67237E6202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7875" y="6162675"/>
              <a:ext cx="15621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3086100</xdr:colOff>
      <xdr:row>28</xdr:row>
      <xdr:rowOff>0</xdr:rowOff>
    </xdr:from>
    <xdr:to>
      <xdr:col>9</xdr:col>
      <xdr:colOff>504825</xdr:colOff>
      <xdr:row>36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JobRole 1">
              <a:extLst>
                <a:ext uri="{FF2B5EF4-FFF2-40B4-BE49-F238E27FC236}">
                  <a16:creationId xmlns:a16="http://schemas.microsoft.com/office/drawing/2014/main" id="{05279972-87A8-4123-E4FE-7F7C484F4E25}"/>
                </a:ext>
                <a:ext uri="{147F2762-F138-4A5C-976F-8EAC2B608ADB}">
                  <a16:predDERef xmlns:a16="http://schemas.microsoft.com/office/drawing/2014/main" pred="{52745257-C913-0F5A-8597-5354E44715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Ro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58550" y="6153150"/>
              <a:ext cx="2743200" cy="1609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590550</xdr:colOff>
      <xdr:row>48</xdr:row>
      <xdr:rowOff>9525</xdr:rowOff>
    </xdr:from>
    <xdr:to>
      <xdr:col>9</xdr:col>
      <xdr:colOff>228600</xdr:colOff>
      <xdr:row>48</xdr:row>
      <xdr:rowOff>19050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384FE56-3284-0C4E-97FA-345B2228F8A0}"/>
            </a:ext>
            <a:ext uri="{147F2762-F138-4A5C-976F-8EAC2B608ADB}">
              <a16:predDERef xmlns:a16="http://schemas.microsoft.com/office/drawing/2014/main" pred="{05279972-87A8-4123-E4FE-7F7C484F4E25}"/>
            </a:ext>
          </a:extLst>
        </xdr:cNvPr>
        <xdr:cNvCxnSpPr>
          <a:cxnSpLocks/>
        </xdr:cNvCxnSpPr>
      </xdr:nvCxnSpPr>
      <xdr:spPr>
        <a:xfrm flipV="1">
          <a:off x="590550" y="15306675"/>
          <a:ext cx="11696700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5</xdr:row>
      <xdr:rowOff>19050</xdr:rowOff>
    </xdr:from>
    <xdr:to>
      <xdr:col>1</xdr:col>
      <xdr:colOff>257175</xdr:colOff>
      <xdr:row>5</xdr:row>
      <xdr:rowOff>257175</xdr:rowOff>
    </xdr:to>
    <xdr:sp macro="" textlink="">
      <xdr:nvSpPr>
        <xdr:cNvPr id="22" name="Right Arrow 21">
          <a:extLst>
            <a:ext uri="{FF2B5EF4-FFF2-40B4-BE49-F238E27FC236}">
              <a16:creationId xmlns:a16="http://schemas.microsoft.com/office/drawing/2014/main" id="{2E0C42B6-7DBD-481D-A4A2-66FB8698F083}"/>
            </a:ext>
            <a:ext uri="{147F2762-F138-4A5C-976F-8EAC2B608ADB}">
              <a16:predDERef xmlns:a16="http://schemas.microsoft.com/office/drawing/2014/main" pred="{46D0D515-D410-448E-A6AD-80A0B7C94A73}"/>
            </a:ext>
          </a:extLst>
        </xdr:cNvPr>
        <xdr:cNvSpPr/>
      </xdr:nvSpPr>
      <xdr:spPr>
        <a:xfrm>
          <a:off x="666750" y="1581150"/>
          <a:ext cx="200025" cy="238125"/>
        </a:xfrm>
        <a:prstGeom prst="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1038225</xdr:colOff>
      <xdr:row>5</xdr:row>
      <xdr:rowOff>19050</xdr:rowOff>
    </xdr:from>
    <xdr:to>
      <xdr:col>5</xdr:col>
      <xdr:colOff>123825</xdr:colOff>
      <xdr:row>5</xdr:row>
      <xdr:rowOff>257175</xdr:rowOff>
    </xdr:to>
    <xdr:sp macro="" textlink="">
      <xdr:nvSpPr>
        <xdr:cNvPr id="23" name="Right Arrow 22">
          <a:extLst>
            <a:ext uri="{FF2B5EF4-FFF2-40B4-BE49-F238E27FC236}">
              <a16:creationId xmlns:a16="http://schemas.microsoft.com/office/drawing/2014/main" id="{6CE033D1-43EB-44A3-BD61-652805CAA16C}"/>
            </a:ext>
            <a:ext uri="{147F2762-F138-4A5C-976F-8EAC2B608ADB}">
              <a16:predDERef xmlns:a16="http://schemas.microsoft.com/office/drawing/2014/main" pred="{2E0C42B6-7DBD-481D-A4A2-66FB8698F083}"/>
            </a:ext>
          </a:extLst>
        </xdr:cNvPr>
        <xdr:cNvSpPr/>
      </xdr:nvSpPr>
      <xdr:spPr>
        <a:xfrm>
          <a:off x="8086725" y="1581150"/>
          <a:ext cx="209550" cy="238125"/>
        </a:xfrm>
        <a:prstGeom prst="rightArrow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457200</xdr:colOff>
      <xdr:row>37</xdr:row>
      <xdr:rowOff>95250</xdr:rowOff>
    </xdr:from>
    <xdr:to>
      <xdr:col>9</xdr:col>
      <xdr:colOff>438150</xdr:colOff>
      <xdr:row>46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1B3C89-657D-88C4-1B9B-506C74B2669F}"/>
            </a:ext>
            <a:ext uri="{147F2762-F138-4A5C-976F-8EAC2B608ADB}">
              <a16:predDERef xmlns:a16="http://schemas.microsoft.com/office/drawing/2014/main" pred="{6CE033D1-43EB-44A3-BD61-652805CAA16C}"/>
            </a:ext>
          </a:extLst>
        </xdr:cNvPr>
        <xdr:cNvSpPr txBox="1"/>
      </xdr:nvSpPr>
      <xdr:spPr>
        <a:xfrm>
          <a:off x="7505700" y="7962900"/>
          <a:ext cx="6429375" cy="19621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1">
              <a:latin typeface="+mn-lt"/>
              <a:ea typeface="+mn-lt"/>
              <a:cs typeface="+mn-lt"/>
            </a:rPr>
            <a:t>KEY INSIGHTS:</a:t>
          </a:r>
          <a:endParaRPr lang="en-US" sz="1600">
            <a:latin typeface="+mn-lt"/>
            <a:ea typeface="+mn-lt"/>
            <a:cs typeface="+mn-lt"/>
          </a:endParaRPr>
        </a:p>
        <a:p>
          <a:pPr marL="0" indent="0" algn="l"/>
          <a:r>
            <a:rPr lang="en-US" sz="1600">
              <a:latin typeface="+mn-lt"/>
              <a:ea typeface="+mn-lt"/>
              <a:cs typeface="+mn-lt"/>
            </a:rPr>
            <a:t>* Overall attrition rate: </a:t>
          </a:r>
          <a:r>
            <a:rPr lang="en-US" sz="1600" b="1">
              <a:latin typeface="+mn-lt"/>
              <a:ea typeface="+mn-lt"/>
              <a:cs typeface="+mn-lt"/>
            </a:rPr>
            <a:t>16.1%.</a:t>
          </a:r>
          <a:endParaRPr lang="en-US" sz="1600">
            <a:latin typeface="+mn-lt"/>
            <a:ea typeface="+mn-lt"/>
            <a:cs typeface="+mn-lt"/>
          </a:endParaRPr>
        </a:p>
        <a:p>
          <a:pPr marL="0" indent="0" algn="l"/>
          <a:r>
            <a:rPr lang="en-US" sz="1600">
              <a:latin typeface="+mn-lt"/>
              <a:ea typeface="+mn-lt"/>
              <a:cs typeface="+mn-lt"/>
            </a:rPr>
            <a:t>* Sales had the highest attrition rate among all departments </a:t>
          </a:r>
          <a:r>
            <a:rPr lang="en-US" sz="1600" b="1">
              <a:latin typeface="+mn-lt"/>
              <a:ea typeface="+mn-lt"/>
              <a:cs typeface="+mn-lt"/>
            </a:rPr>
            <a:t>(20.6%)</a:t>
          </a:r>
          <a:r>
            <a:rPr lang="en-US" sz="1600">
              <a:latin typeface="+mn-lt"/>
              <a:ea typeface="+mn-lt"/>
              <a:cs typeface="+mn-lt"/>
            </a:rPr>
            <a:t>.</a:t>
          </a:r>
        </a:p>
        <a:p>
          <a:pPr marL="0" indent="0" algn="l"/>
          <a:r>
            <a:rPr lang="en-US" sz="1600">
              <a:latin typeface="+mn-lt"/>
              <a:ea typeface="+mn-lt"/>
              <a:cs typeface="+mn-lt"/>
            </a:rPr>
            <a:t>* Laboratory Technicians experienced the highest number of employee departures.</a:t>
          </a:r>
        </a:p>
        <a:p>
          <a:pPr marL="0" indent="0" algn="l"/>
          <a:r>
            <a:rPr lang="en-US" sz="1600">
              <a:latin typeface="+mn-lt"/>
              <a:ea typeface="+mn-lt"/>
              <a:cs typeface="+mn-lt"/>
            </a:rPr>
            <a:t>* Employorking overtime had approximately </a:t>
          </a:r>
          <a:r>
            <a:rPr lang="en-US" sz="1600" b="1">
              <a:latin typeface="+mn-lt"/>
              <a:ea typeface="+mn-lt"/>
              <a:cs typeface="+mn-lt"/>
            </a:rPr>
            <a:t>three times</a:t>
          </a:r>
          <a:r>
            <a:rPr lang="en-US" sz="1600">
              <a:latin typeface="+mn-lt"/>
              <a:ea typeface="+mn-lt"/>
              <a:cs typeface="+mn-lt"/>
            </a:rPr>
            <a:t> the attrition rate of employees who did not work overtime.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39</xdr:row>
      <xdr:rowOff>114300</xdr:rowOff>
    </xdr:from>
    <xdr:to>
      <xdr:col>14</xdr:col>
      <xdr:colOff>390525</xdr:colOff>
      <xdr:row>54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376EE1A-AD6F-D4A5-12C8-51A80CAE8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504825</xdr:colOff>
      <xdr:row>1</xdr:row>
      <xdr:rowOff>95250</xdr:rowOff>
    </xdr:from>
    <xdr:to>
      <xdr:col>6</xdr:col>
      <xdr:colOff>38100</xdr:colOff>
      <xdr:row>15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Department">
              <a:extLst>
                <a:ext uri="{FF2B5EF4-FFF2-40B4-BE49-F238E27FC236}">
                  <a16:creationId xmlns:a16="http://schemas.microsoft.com/office/drawing/2014/main" id="{0EF9A397-503E-797F-23CE-46AE9B7F92C0}"/>
                </a:ext>
                <a:ext uri="{147F2762-F138-4A5C-976F-8EAC2B608ADB}">
                  <a16:predDERef xmlns:a16="http://schemas.microsoft.com/office/drawing/2014/main" pred="{F376EE1A-AD6F-D4A5-12C8-51A80CAE87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0375" y="285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447675</xdr:colOff>
      <xdr:row>1</xdr:row>
      <xdr:rowOff>104775</xdr:rowOff>
    </xdr:from>
    <xdr:to>
      <xdr:col>9</xdr:col>
      <xdr:colOff>190500</xdr:colOff>
      <xdr:row>15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Gender">
              <a:extLst>
                <a:ext uri="{FF2B5EF4-FFF2-40B4-BE49-F238E27FC236}">
                  <a16:creationId xmlns:a16="http://schemas.microsoft.com/office/drawing/2014/main" id="{5C9B5BAF-67BC-D750-BBDE-84D61BFBB60F}"/>
                </a:ext>
                <a:ext uri="{147F2762-F138-4A5C-976F-8EAC2B608ADB}">
                  <a16:predDERef xmlns:a16="http://schemas.microsoft.com/office/drawing/2014/main" pred="{0EF9A397-503E-797F-23CE-46AE9B7F92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38750" y="295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561975</xdr:colOff>
      <xdr:row>1</xdr:row>
      <xdr:rowOff>123825</xdr:rowOff>
    </xdr:from>
    <xdr:to>
      <xdr:col>12</xdr:col>
      <xdr:colOff>561975</xdr:colOff>
      <xdr:row>15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JobRole">
              <a:extLst>
                <a:ext uri="{FF2B5EF4-FFF2-40B4-BE49-F238E27FC236}">
                  <a16:creationId xmlns:a16="http://schemas.microsoft.com/office/drawing/2014/main" id="{C4574F84-B2D4-9031-A257-36B3A3881CF4}"/>
                </a:ext>
                <a:ext uri="{147F2762-F138-4A5C-976F-8EAC2B608ADB}">
                  <a16:predDERef xmlns:a16="http://schemas.microsoft.com/office/drawing/2014/main" pred="{5C9B5BAF-67BC-D750-BBDE-84D61BFBB6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Ro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39025" y="3143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5.500135185182" createdVersion="8" refreshedVersion="8" minRefreshableVersion="3" recordCount="1470" xr:uid="{91E6DD67-4882-4632-8AFE-2852BBBF9B69}">
  <cacheSource type="worksheet">
    <worksheetSource name="Employees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 count="1">
        <n v="1"/>
      </sharedItems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16200352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x v="0"/>
    <n v="1"/>
    <n v="2"/>
    <x v="0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x v="0"/>
    <n v="2"/>
    <n v="3"/>
    <x v="1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x v="0"/>
    <n v="4"/>
    <n v="4"/>
    <x v="1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x v="0"/>
    <n v="5"/>
    <n v="4"/>
    <x v="0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x v="0"/>
    <n v="7"/>
    <n v="1"/>
    <x v="1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x v="0"/>
    <n v="8"/>
    <n v="4"/>
    <x v="1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x v="0"/>
    <n v="10"/>
    <n v="3"/>
    <x v="0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x v="0"/>
    <n v="11"/>
    <n v="4"/>
    <x v="1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x v="0"/>
    <n v="12"/>
    <n v="4"/>
    <x v="1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x v="0"/>
    <n v="13"/>
    <n v="3"/>
    <x v="1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x v="0"/>
    <n v="14"/>
    <n v="1"/>
    <x v="1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x v="0"/>
    <n v="15"/>
    <n v="4"/>
    <x v="0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x v="0"/>
    <n v="16"/>
    <n v="1"/>
    <x v="1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x v="0"/>
    <n v="18"/>
    <n v="2"/>
    <x v="1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x v="0"/>
    <n v="19"/>
    <n v="3"/>
    <x v="1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x v="0"/>
    <n v="20"/>
    <n v="2"/>
    <x v="0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x v="0"/>
    <n v="21"/>
    <n v="1"/>
    <x v="1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x v="0"/>
    <n v="22"/>
    <n v="4"/>
    <x v="1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x v="0"/>
    <n v="23"/>
    <n v="1"/>
    <x v="0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x v="0"/>
    <n v="24"/>
    <n v="4"/>
    <x v="1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x v="0"/>
    <n v="26"/>
    <n v="1"/>
    <x v="0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x v="0"/>
    <n v="27"/>
    <n v="3"/>
    <x v="1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x v="0"/>
    <n v="28"/>
    <n v="1"/>
    <x v="0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x v="0"/>
    <n v="30"/>
    <n v="3"/>
    <x v="1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x v="0"/>
    <n v="31"/>
    <n v="2"/>
    <x v="1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x v="0"/>
    <n v="32"/>
    <n v="3"/>
    <x v="0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x v="0"/>
    <n v="33"/>
    <n v="2"/>
    <x v="0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x v="0"/>
    <n v="35"/>
    <n v="3"/>
    <x v="1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x v="0"/>
    <n v="36"/>
    <n v="1"/>
    <x v="0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x v="0"/>
    <n v="38"/>
    <n v="2"/>
    <x v="0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x v="0"/>
    <n v="39"/>
    <n v="3"/>
    <x v="1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x v="0"/>
    <n v="40"/>
    <n v="4"/>
    <x v="1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x v="0"/>
    <n v="41"/>
    <n v="4"/>
    <x v="1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x v="0"/>
    <n v="42"/>
    <n v="4"/>
    <x v="1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x v="0"/>
    <n v="45"/>
    <n v="2"/>
    <x v="1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x v="0"/>
    <n v="46"/>
    <n v="4"/>
    <x v="0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x v="0"/>
    <n v="47"/>
    <n v="1"/>
    <x v="1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x v="0"/>
    <n v="49"/>
    <n v="4"/>
    <x v="0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x v="0"/>
    <n v="51"/>
    <n v="2"/>
    <x v="0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x v="0"/>
    <n v="52"/>
    <n v="3"/>
    <x v="0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x v="0"/>
    <n v="53"/>
    <n v="3"/>
    <x v="1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x v="0"/>
    <n v="54"/>
    <n v="4"/>
    <x v="0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x v="0"/>
    <n v="55"/>
    <n v="1"/>
    <x v="1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x v="0"/>
    <n v="56"/>
    <n v="4"/>
    <x v="1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x v="0"/>
    <n v="57"/>
    <n v="3"/>
    <x v="0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x v="0"/>
    <n v="58"/>
    <n v="2"/>
    <x v="0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x v="0"/>
    <n v="60"/>
    <n v="2"/>
    <x v="1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x v="0"/>
    <n v="61"/>
    <n v="2"/>
    <x v="1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x v="0"/>
    <n v="62"/>
    <n v="1"/>
    <x v="1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x v="0"/>
    <n v="63"/>
    <n v="4"/>
    <x v="1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x v="0"/>
    <n v="64"/>
    <n v="1"/>
    <x v="1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x v="0"/>
    <n v="65"/>
    <n v="3"/>
    <x v="1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x v="0"/>
    <n v="68"/>
    <n v="2"/>
    <x v="0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x v="0"/>
    <n v="70"/>
    <n v="3"/>
    <x v="1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x v="0"/>
    <n v="72"/>
    <n v="3"/>
    <x v="0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x v="0"/>
    <n v="73"/>
    <n v="1"/>
    <x v="0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x v="0"/>
    <n v="74"/>
    <n v="2"/>
    <x v="1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x v="0"/>
    <n v="75"/>
    <n v="3"/>
    <x v="0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x v="0"/>
    <n v="76"/>
    <n v="4"/>
    <x v="1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x v="0"/>
    <n v="77"/>
    <n v="1"/>
    <x v="1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x v="0"/>
    <n v="78"/>
    <n v="1"/>
    <x v="1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x v="0"/>
    <n v="79"/>
    <n v="4"/>
    <x v="0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x v="0"/>
    <n v="80"/>
    <n v="2"/>
    <x v="0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x v="0"/>
    <n v="81"/>
    <n v="1"/>
    <x v="0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x v="0"/>
    <n v="83"/>
    <n v="3"/>
    <x v="0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x v="0"/>
    <n v="84"/>
    <n v="4"/>
    <x v="0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x v="0"/>
    <n v="85"/>
    <n v="2"/>
    <x v="1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x v="0"/>
    <n v="86"/>
    <n v="2"/>
    <x v="1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x v="0"/>
    <n v="88"/>
    <n v="2"/>
    <x v="1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x v="0"/>
    <n v="90"/>
    <n v="4"/>
    <x v="1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x v="0"/>
    <n v="91"/>
    <n v="1"/>
    <x v="0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x v="0"/>
    <n v="94"/>
    <n v="3"/>
    <x v="1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x v="0"/>
    <n v="95"/>
    <n v="3"/>
    <x v="1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x v="0"/>
    <n v="96"/>
    <n v="2"/>
    <x v="1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x v="0"/>
    <n v="97"/>
    <n v="2"/>
    <x v="0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x v="0"/>
    <n v="98"/>
    <n v="3"/>
    <x v="0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x v="0"/>
    <n v="100"/>
    <n v="3"/>
    <x v="1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x v="0"/>
    <n v="101"/>
    <n v="4"/>
    <x v="1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x v="0"/>
    <n v="102"/>
    <n v="1"/>
    <x v="1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x v="0"/>
    <n v="103"/>
    <n v="2"/>
    <x v="1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x v="0"/>
    <n v="104"/>
    <n v="4"/>
    <x v="1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x v="0"/>
    <n v="105"/>
    <n v="2"/>
    <x v="1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x v="0"/>
    <n v="106"/>
    <n v="1"/>
    <x v="1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x v="0"/>
    <n v="107"/>
    <n v="2"/>
    <x v="0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x v="0"/>
    <n v="110"/>
    <n v="1"/>
    <x v="1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x v="0"/>
    <n v="112"/>
    <n v="4"/>
    <x v="1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x v="0"/>
    <n v="113"/>
    <n v="3"/>
    <x v="1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x v="0"/>
    <n v="116"/>
    <n v="4"/>
    <x v="1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x v="0"/>
    <n v="117"/>
    <n v="3"/>
    <x v="1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x v="0"/>
    <n v="118"/>
    <n v="3"/>
    <x v="1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x v="0"/>
    <n v="119"/>
    <n v="3"/>
    <x v="1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x v="0"/>
    <n v="120"/>
    <n v="3"/>
    <x v="1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x v="0"/>
    <n v="121"/>
    <n v="3"/>
    <x v="0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x v="0"/>
    <n v="124"/>
    <n v="3"/>
    <x v="1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x v="0"/>
    <n v="125"/>
    <n v="2"/>
    <x v="1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x v="0"/>
    <n v="126"/>
    <n v="1"/>
    <x v="0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x v="0"/>
    <n v="128"/>
    <n v="1"/>
    <x v="0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x v="0"/>
    <n v="129"/>
    <n v="2"/>
    <x v="1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x v="0"/>
    <n v="131"/>
    <n v="4"/>
    <x v="1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x v="0"/>
    <n v="132"/>
    <n v="2"/>
    <x v="1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x v="0"/>
    <n v="133"/>
    <n v="3"/>
    <x v="1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x v="0"/>
    <n v="134"/>
    <n v="4"/>
    <x v="1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x v="0"/>
    <n v="137"/>
    <n v="4"/>
    <x v="0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x v="0"/>
    <n v="138"/>
    <n v="1"/>
    <x v="0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x v="0"/>
    <n v="139"/>
    <n v="3"/>
    <x v="1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x v="0"/>
    <n v="140"/>
    <n v="3"/>
    <x v="0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x v="0"/>
    <n v="141"/>
    <n v="1"/>
    <x v="0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x v="0"/>
    <n v="142"/>
    <n v="3"/>
    <x v="1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x v="0"/>
    <n v="143"/>
    <n v="4"/>
    <x v="1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x v="0"/>
    <n v="144"/>
    <n v="2"/>
    <x v="0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x v="0"/>
    <n v="145"/>
    <n v="1"/>
    <x v="0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x v="0"/>
    <n v="147"/>
    <n v="1"/>
    <x v="1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x v="0"/>
    <n v="148"/>
    <n v="4"/>
    <x v="0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x v="0"/>
    <n v="150"/>
    <n v="2"/>
    <x v="1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x v="0"/>
    <n v="151"/>
    <n v="3"/>
    <x v="0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x v="0"/>
    <n v="152"/>
    <n v="3"/>
    <x v="1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x v="0"/>
    <n v="153"/>
    <n v="3"/>
    <x v="0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x v="0"/>
    <n v="154"/>
    <n v="2"/>
    <x v="0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x v="0"/>
    <n v="155"/>
    <n v="1"/>
    <x v="0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x v="0"/>
    <n v="158"/>
    <n v="3"/>
    <x v="1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x v="0"/>
    <n v="159"/>
    <n v="1"/>
    <x v="1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x v="0"/>
    <n v="160"/>
    <n v="3"/>
    <x v="1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x v="0"/>
    <n v="161"/>
    <n v="2"/>
    <x v="0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x v="0"/>
    <n v="162"/>
    <n v="1"/>
    <x v="1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x v="0"/>
    <n v="163"/>
    <n v="2"/>
    <x v="1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x v="0"/>
    <n v="164"/>
    <n v="3"/>
    <x v="0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x v="0"/>
    <n v="165"/>
    <n v="4"/>
    <x v="0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x v="0"/>
    <n v="167"/>
    <n v="4"/>
    <x v="1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x v="0"/>
    <n v="169"/>
    <n v="3"/>
    <x v="1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x v="0"/>
    <n v="170"/>
    <n v="3"/>
    <x v="0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x v="0"/>
    <n v="171"/>
    <n v="2"/>
    <x v="0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x v="0"/>
    <n v="174"/>
    <n v="3"/>
    <x v="0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x v="0"/>
    <n v="175"/>
    <n v="2"/>
    <x v="0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x v="0"/>
    <n v="176"/>
    <n v="3"/>
    <x v="1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x v="0"/>
    <n v="177"/>
    <n v="3"/>
    <x v="0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x v="0"/>
    <n v="178"/>
    <n v="2"/>
    <x v="1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x v="0"/>
    <n v="179"/>
    <n v="1"/>
    <x v="1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x v="0"/>
    <n v="182"/>
    <n v="4"/>
    <x v="0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x v="0"/>
    <n v="183"/>
    <n v="1"/>
    <x v="1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x v="0"/>
    <n v="184"/>
    <n v="3"/>
    <x v="1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x v="0"/>
    <n v="190"/>
    <n v="1"/>
    <x v="0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x v="0"/>
    <n v="192"/>
    <n v="3"/>
    <x v="1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x v="0"/>
    <n v="193"/>
    <n v="4"/>
    <x v="0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x v="0"/>
    <n v="194"/>
    <n v="1"/>
    <x v="0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x v="0"/>
    <n v="195"/>
    <n v="4"/>
    <x v="1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x v="0"/>
    <n v="197"/>
    <n v="4"/>
    <x v="0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x v="0"/>
    <n v="198"/>
    <n v="2"/>
    <x v="1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x v="0"/>
    <n v="199"/>
    <n v="4"/>
    <x v="1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x v="0"/>
    <n v="200"/>
    <n v="3"/>
    <x v="1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x v="0"/>
    <n v="201"/>
    <n v="2"/>
    <x v="0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x v="0"/>
    <n v="202"/>
    <n v="2"/>
    <x v="0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x v="0"/>
    <n v="204"/>
    <n v="3"/>
    <x v="1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x v="0"/>
    <n v="205"/>
    <n v="2"/>
    <x v="1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x v="0"/>
    <n v="206"/>
    <n v="2"/>
    <x v="1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x v="0"/>
    <n v="207"/>
    <n v="2"/>
    <x v="0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x v="0"/>
    <n v="208"/>
    <n v="4"/>
    <x v="1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x v="0"/>
    <n v="211"/>
    <n v="2"/>
    <x v="1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x v="0"/>
    <n v="214"/>
    <n v="2"/>
    <x v="0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x v="0"/>
    <n v="215"/>
    <n v="3"/>
    <x v="1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x v="0"/>
    <n v="216"/>
    <n v="3"/>
    <x v="0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x v="0"/>
    <n v="217"/>
    <n v="3"/>
    <x v="1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x v="0"/>
    <n v="218"/>
    <n v="4"/>
    <x v="1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x v="0"/>
    <n v="221"/>
    <n v="3"/>
    <x v="1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x v="0"/>
    <n v="223"/>
    <n v="3"/>
    <x v="1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x v="0"/>
    <n v="224"/>
    <n v="3"/>
    <x v="1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x v="0"/>
    <n v="226"/>
    <n v="3"/>
    <x v="0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x v="0"/>
    <n v="227"/>
    <n v="1"/>
    <x v="1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x v="0"/>
    <n v="228"/>
    <n v="2"/>
    <x v="0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x v="0"/>
    <n v="230"/>
    <n v="1"/>
    <x v="0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x v="0"/>
    <n v="231"/>
    <n v="3"/>
    <x v="1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x v="0"/>
    <n v="233"/>
    <n v="3"/>
    <x v="1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x v="0"/>
    <n v="235"/>
    <n v="3"/>
    <x v="0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x v="0"/>
    <n v="238"/>
    <n v="4"/>
    <x v="1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x v="0"/>
    <n v="239"/>
    <n v="3"/>
    <x v="1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x v="0"/>
    <n v="240"/>
    <n v="3"/>
    <x v="0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x v="0"/>
    <n v="241"/>
    <n v="3"/>
    <x v="0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x v="0"/>
    <n v="242"/>
    <n v="3"/>
    <x v="1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x v="0"/>
    <n v="243"/>
    <n v="2"/>
    <x v="1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x v="0"/>
    <n v="244"/>
    <n v="2"/>
    <x v="0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x v="0"/>
    <n v="245"/>
    <n v="3"/>
    <x v="0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x v="0"/>
    <n v="246"/>
    <n v="3"/>
    <x v="0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x v="0"/>
    <n v="247"/>
    <n v="4"/>
    <x v="0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x v="0"/>
    <n v="248"/>
    <n v="2"/>
    <x v="0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x v="0"/>
    <n v="249"/>
    <n v="3"/>
    <x v="1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x v="0"/>
    <n v="250"/>
    <n v="4"/>
    <x v="0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x v="0"/>
    <n v="252"/>
    <n v="4"/>
    <x v="0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x v="0"/>
    <n v="253"/>
    <n v="4"/>
    <x v="0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x v="0"/>
    <n v="254"/>
    <n v="3"/>
    <x v="1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x v="0"/>
    <n v="256"/>
    <n v="4"/>
    <x v="1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x v="0"/>
    <n v="258"/>
    <n v="4"/>
    <x v="0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x v="0"/>
    <n v="259"/>
    <n v="3"/>
    <x v="1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x v="0"/>
    <n v="260"/>
    <n v="4"/>
    <x v="0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x v="0"/>
    <n v="261"/>
    <n v="2"/>
    <x v="1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x v="0"/>
    <n v="262"/>
    <n v="4"/>
    <x v="1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x v="0"/>
    <n v="264"/>
    <n v="1"/>
    <x v="1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x v="0"/>
    <n v="267"/>
    <n v="2"/>
    <x v="1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x v="0"/>
    <n v="269"/>
    <n v="2"/>
    <x v="0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x v="0"/>
    <n v="270"/>
    <n v="3"/>
    <x v="0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x v="0"/>
    <n v="271"/>
    <n v="4"/>
    <x v="1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x v="0"/>
    <n v="273"/>
    <n v="4"/>
    <x v="1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x v="0"/>
    <n v="274"/>
    <n v="3"/>
    <x v="1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x v="0"/>
    <n v="275"/>
    <n v="4"/>
    <x v="1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x v="0"/>
    <n v="277"/>
    <n v="4"/>
    <x v="1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x v="0"/>
    <n v="281"/>
    <n v="3"/>
    <x v="1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x v="0"/>
    <n v="282"/>
    <n v="2"/>
    <x v="1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x v="0"/>
    <n v="283"/>
    <n v="2"/>
    <x v="0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x v="0"/>
    <n v="284"/>
    <n v="4"/>
    <x v="1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x v="0"/>
    <n v="286"/>
    <n v="2"/>
    <x v="0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x v="0"/>
    <n v="287"/>
    <n v="4"/>
    <x v="1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x v="0"/>
    <n v="288"/>
    <n v="4"/>
    <x v="1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x v="0"/>
    <n v="291"/>
    <n v="4"/>
    <x v="1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x v="0"/>
    <n v="292"/>
    <n v="3"/>
    <x v="1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x v="0"/>
    <n v="293"/>
    <n v="4"/>
    <x v="0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x v="0"/>
    <n v="296"/>
    <n v="2"/>
    <x v="1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x v="0"/>
    <n v="297"/>
    <n v="4"/>
    <x v="0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x v="0"/>
    <n v="298"/>
    <n v="4"/>
    <x v="0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x v="0"/>
    <n v="299"/>
    <n v="3"/>
    <x v="0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x v="0"/>
    <n v="300"/>
    <n v="3"/>
    <x v="1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x v="0"/>
    <n v="302"/>
    <n v="4"/>
    <x v="0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x v="0"/>
    <n v="303"/>
    <n v="4"/>
    <x v="0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x v="0"/>
    <n v="304"/>
    <n v="4"/>
    <x v="1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x v="0"/>
    <n v="305"/>
    <n v="3"/>
    <x v="0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x v="0"/>
    <n v="306"/>
    <n v="2"/>
    <x v="1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x v="0"/>
    <n v="307"/>
    <n v="1"/>
    <x v="1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x v="0"/>
    <n v="308"/>
    <n v="3"/>
    <x v="1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x v="0"/>
    <n v="309"/>
    <n v="3"/>
    <x v="1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x v="0"/>
    <n v="311"/>
    <n v="1"/>
    <x v="1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x v="0"/>
    <n v="312"/>
    <n v="2"/>
    <x v="0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x v="0"/>
    <n v="314"/>
    <n v="3"/>
    <x v="0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x v="0"/>
    <n v="315"/>
    <n v="3"/>
    <x v="1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x v="0"/>
    <n v="316"/>
    <n v="3"/>
    <x v="0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x v="0"/>
    <n v="319"/>
    <n v="3"/>
    <x v="1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x v="0"/>
    <n v="321"/>
    <n v="2"/>
    <x v="1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x v="0"/>
    <n v="323"/>
    <n v="4"/>
    <x v="0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x v="0"/>
    <n v="325"/>
    <n v="3"/>
    <x v="1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x v="0"/>
    <n v="327"/>
    <n v="4"/>
    <x v="0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x v="0"/>
    <n v="328"/>
    <n v="1"/>
    <x v="0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x v="0"/>
    <n v="329"/>
    <n v="1"/>
    <x v="1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x v="0"/>
    <n v="330"/>
    <n v="3"/>
    <x v="0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x v="0"/>
    <n v="331"/>
    <n v="4"/>
    <x v="1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x v="0"/>
    <n v="332"/>
    <n v="3"/>
    <x v="0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x v="0"/>
    <n v="333"/>
    <n v="3"/>
    <x v="1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x v="0"/>
    <n v="334"/>
    <n v="3"/>
    <x v="1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x v="0"/>
    <n v="335"/>
    <n v="1"/>
    <x v="1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x v="0"/>
    <n v="336"/>
    <n v="3"/>
    <x v="1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x v="0"/>
    <n v="337"/>
    <n v="2"/>
    <x v="1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x v="0"/>
    <n v="338"/>
    <n v="3"/>
    <x v="0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x v="0"/>
    <n v="339"/>
    <n v="4"/>
    <x v="1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x v="0"/>
    <n v="340"/>
    <n v="3"/>
    <x v="0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x v="0"/>
    <n v="341"/>
    <n v="1"/>
    <x v="1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x v="0"/>
    <n v="342"/>
    <n v="1"/>
    <x v="1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x v="0"/>
    <n v="343"/>
    <n v="3"/>
    <x v="0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x v="0"/>
    <n v="346"/>
    <n v="3"/>
    <x v="1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x v="0"/>
    <n v="347"/>
    <n v="4"/>
    <x v="0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x v="0"/>
    <n v="349"/>
    <n v="4"/>
    <x v="1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x v="0"/>
    <n v="350"/>
    <n v="1"/>
    <x v="0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x v="0"/>
    <n v="351"/>
    <n v="4"/>
    <x v="0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x v="0"/>
    <n v="352"/>
    <n v="1"/>
    <x v="1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x v="0"/>
    <n v="353"/>
    <n v="3"/>
    <x v="1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x v="0"/>
    <n v="355"/>
    <n v="3"/>
    <x v="1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x v="0"/>
    <n v="359"/>
    <n v="2"/>
    <x v="1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x v="0"/>
    <n v="361"/>
    <n v="4"/>
    <x v="1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x v="0"/>
    <n v="362"/>
    <n v="4"/>
    <x v="1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x v="0"/>
    <n v="363"/>
    <n v="3"/>
    <x v="0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x v="0"/>
    <n v="364"/>
    <n v="1"/>
    <x v="1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x v="0"/>
    <n v="366"/>
    <n v="1"/>
    <x v="1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x v="0"/>
    <n v="367"/>
    <n v="2"/>
    <x v="1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x v="0"/>
    <n v="369"/>
    <n v="2"/>
    <x v="1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x v="0"/>
    <n v="372"/>
    <n v="3"/>
    <x v="1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x v="0"/>
    <n v="373"/>
    <n v="4"/>
    <x v="1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x v="0"/>
    <n v="374"/>
    <n v="4"/>
    <x v="1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x v="0"/>
    <n v="376"/>
    <n v="1"/>
    <x v="1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x v="0"/>
    <n v="377"/>
    <n v="4"/>
    <x v="1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x v="0"/>
    <n v="378"/>
    <n v="3"/>
    <x v="1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x v="0"/>
    <n v="379"/>
    <n v="4"/>
    <x v="1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x v="0"/>
    <n v="380"/>
    <n v="1"/>
    <x v="0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x v="0"/>
    <n v="381"/>
    <n v="2"/>
    <x v="0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x v="0"/>
    <n v="382"/>
    <n v="1"/>
    <x v="0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x v="0"/>
    <n v="384"/>
    <n v="3"/>
    <x v="0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x v="0"/>
    <n v="385"/>
    <n v="1"/>
    <x v="1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x v="0"/>
    <n v="386"/>
    <n v="3"/>
    <x v="1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x v="0"/>
    <n v="387"/>
    <n v="2"/>
    <x v="1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x v="0"/>
    <n v="388"/>
    <n v="2"/>
    <x v="1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x v="0"/>
    <n v="389"/>
    <n v="2"/>
    <x v="1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x v="0"/>
    <n v="390"/>
    <n v="1"/>
    <x v="1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x v="0"/>
    <n v="391"/>
    <n v="4"/>
    <x v="0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x v="0"/>
    <n v="392"/>
    <n v="4"/>
    <x v="1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x v="0"/>
    <n v="393"/>
    <n v="4"/>
    <x v="1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x v="0"/>
    <n v="394"/>
    <n v="1"/>
    <x v="1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x v="0"/>
    <n v="395"/>
    <n v="4"/>
    <x v="0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x v="0"/>
    <n v="396"/>
    <n v="3"/>
    <x v="0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x v="0"/>
    <n v="397"/>
    <n v="3"/>
    <x v="1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x v="0"/>
    <n v="399"/>
    <n v="4"/>
    <x v="0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x v="0"/>
    <n v="401"/>
    <n v="4"/>
    <x v="1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x v="0"/>
    <n v="403"/>
    <n v="2"/>
    <x v="1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x v="0"/>
    <n v="404"/>
    <n v="3"/>
    <x v="0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x v="0"/>
    <n v="405"/>
    <n v="3"/>
    <x v="1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x v="0"/>
    <n v="406"/>
    <n v="3"/>
    <x v="1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x v="0"/>
    <n v="407"/>
    <n v="3"/>
    <x v="1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x v="0"/>
    <n v="408"/>
    <n v="4"/>
    <x v="1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x v="0"/>
    <n v="410"/>
    <n v="4"/>
    <x v="1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x v="0"/>
    <n v="411"/>
    <n v="4"/>
    <x v="0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x v="0"/>
    <n v="412"/>
    <n v="2"/>
    <x v="1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x v="0"/>
    <n v="416"/>
    <n v="2"/>
    <x v="1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x v="0"/>
    <n v="417"/>
    <n v="3"/>
    <x v="1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x v="0"/>
    <n v="419"/>
    <n v="2"/>
    <x v="0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x v="0"/>
    <n v="420"/>
    <n v="4"/>
    <x v="1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x v="0"/>
    <n v="421"/>
    <n v="1"/>
    <x v="0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x v="0"/>
    <n v="422"/>
    <n v="4"/>
    <x v="1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x v="0"/>
    <n v="423"/>
    <n v="3"/>
    <x v="1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x v="0"/>
    <n v="424"/>
    <n v="1"/>
    <x v="1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x v="0"/>
    <n v="425"/>
    <n v="1"/>
    <x v="1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x v="0"/>
    <n v="426"/>
    <n v="3"/>
    <x v="1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x v="0"/>
    <n v="428"/>
    <n v="4"/>
    <x v="0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x v="0"/>
    <n v="429"/>
    <n v="3"/>
    <x v="1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x v="0"/>
    <n v="430"/>
    <n v="3"/>
    <x v="0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x v="0"/>
    <n v="431"/>
    <n v="3"/>
    <x v="0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x v="0"/>
    <n v="433"/>
    <n v="3"/>
    <x v="1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x v="0"/>
    <n v="434"/>
    <n v="3"/>
    <x v="0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x v="0"/>
    <n v="436"/>
    <n v="3"/>
    <x v="0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x v="0"/>
    <n v="437"/>
    <n v="4"/>
    <x v="1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x v="0"/>
    <n v="438"/>
    <n v="4"/>
    <x v="1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x v="0"/>
    <n v="439"/>
    <n v="1"/>
    <x v="0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x v="0"/>
    <n v="440"/>
    <n v="1"/>
    <x v="1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x v="0"/>
    <n v="441"/>
    <n v="4"/>
    <x v="0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x v="0"/>
    <n v="442"/>
    <n v="3"/>
    <x v="0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x v="0"/>
    <n v="444"/>
    <n v="3"/>
    <x v="1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x v="0"/>
    <n v="445"/>
    <n v="4"/>
    <x v="0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x v="0"/>
    <n v="446"/>
    <n v="2"/>
    <x v="1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x v="0"/>
    <n v="447"/>
    <n v="4"/>
    <x v="1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x v="0"/>
    <n v="448"/>
    <n v="3"/>
    <x v="0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x v="0"/>
    <n v="449"/>
    <n v="3"/>
    <x v="1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x v="0"/>
    <n v="450"/>
    <n v="4"/>
    <x v="0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x v="0"/>
    <n v="451"/>
    <n v="3"/>
    <x v="0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x v="0"/>
    <n v="452"/>
    <n v="4"/>
    <x v="1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x v="0"/>
    <n v="453"/>
    <n v="2"/>
    <x v="1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x v="0"/>
    <n v="454"/>
    <n v="2"/>
    <x v="1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x v="0"/>
    <n v="455"/>
    <n v="2"/>
    <x v="1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x v="0"/>
    <n v="456"/>
    <n v="4"/>
    <x v="0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x v="0"/>
    <n v="458"/>
    <n v="2"/>
    <x v="0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x v="0"/>
    <n v="460"/>
    <n v="4"/>
    <x v="1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x v="0"/>
    <n v="461"/>
    <n v="3"/>
    <x v="1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x v="0"/>
    <n v="462"/>
    <n v="3"/>
    <x v="0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x v="0"/>
    <n v="463"/>
    <n v="4"/>
    <x v="0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x v="0"/>
    <n v="464"/>
    <n v="3"/>
    <x v="1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x v="0"/>
    <n v="465"/>
    <n v="3"/>
    <x v="1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x v="0"/>
    <n v="466"/>
    <n v="4"/>
    <x v="1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x v="0"/>
    <n v="467"/>
    <n v="2"/>
    <x v="1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x v="0"/>
    <n v="468"/>
    <n v="1"/>
    <x v="0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x v="0"/>
    <n v="469"/>
    <n v="4"/>
    <x v="1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x v="0"/>
    <n v="470"/>
    <n v="3"/>
    <x v="1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x v="0"/>
    <n v="471"/>
    <n v="3"/>
    <x v="0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x v="0"/>
    <n v="473"/>
    <n v="1"/>
    <x v="0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x v="0"/>
    <n v="474"/>
    <n v="3"/>
    <x v="1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x v="0"/>
    <n v="475"/>
    <n v="4"/>
    <x v="0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x v="0"/>
    <n v="476"/>
    <n v="3"/>
    <x v="1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x v="0"/>
    <n v="477"/>
    <n v="1"/>
    <x v="1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x v="0"/>
    <n v="478"/>
    <n v="1"/>
    <x v="0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x v="0"/>
    <n v="479"/>
    <n v="4"/>
    <x v="0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x v="0"/>
    <n v="481"/>
    <n v="1"/>
    <x v="1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x v="0"/>
    <n v="482"/>
    <n v="4"/>
    <x v="1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x v="0"/>
    <n v="483"/>
    <n v="4"/>
    <x v="0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x v="0"/>
    <n v="484"/>
    <n v="1"/>
    <x v="1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x v="0"/>
    <n v="485"/>
    <n v="4"/>
    <x v="0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x v="0"/>
    <n v="486"/>
    <n v="3"/>
    <x v="0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x v="0"/>
    <n v="487"/>
    <n v="3"/>
    <x v="0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x v="0"/>
    <n v="488"/>
    <n v="1"/>
    <x v="1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x v="0"/>
    <n v="491"/>
    <n v="4"/>
    <x v="1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x v="0"/>
    <n v="492"/>
    <n v="3"/>
    <x v="1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x v="0"/>
    <n v="493"/>
    <n v="3"/>
    <x v="1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x v="0"/>
    <n v="494"/>
    <n v="3"/>
    <x v="0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x v="0"/>
    <n v="495"/>
    <n v="4"/>
    <x v="1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x v="0"/>
    <n v="496"/>
    <n v="3"/>
    <x v="1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x v="0"/>
    <n v="497"/>
    <n v="4"/>
    <x v="1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x v="0"/>
    <n v="498"/>
    <n v="2"/>
    <x v="1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x v="0"/>
    <n v="499"/>
    <n v="2"/>
    <x v="1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x v="0"/>
    <n v="500"/>
    <n v="3"/>
    <x v="0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x v="0"/>
    <n v="501"/>
    <n v="4"/>
    <x v="0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x v="0"/>
    <n v="502"/>
    <n v="1"/>
    <x v="1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x v="0"/>
    <n v="505"/>
    <n v="3"/>
    <x v="0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x v="0"/>
    <n v="507"/>
    <n v="4"/>
    <x v="0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x v="0"/>
    <n v="508"/>
    <n v="3"/>
    <x v="1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x v="0"/>
    <n v="510"/>
    <n v="3"/>
    <x v="1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x v="0"/>
    <n v="511"/>
    <n v="1"/>
    <x v="0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x v="0"/>
    <n v="513"/>
    <n v="2"/>
    <x v="1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x v="0"/>
    <n v="514"/>
    <n v="3"/>
    <x v="1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x v="0"/>
    <n v="515"/>
    <n v="4"/>
    <x v="0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x v="0"/>
    <n v="516"/>
    <n v="4"/>
    <x v="0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x v="0"/>
    <n v="517"/>
    <n v="2"/>
    <x v="0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x v="0"/>
    <n v="518"/>
    <n v="3"/>
    <x v="1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x v="0"/>
    <n v="520"/>
    <n v="1"/>
    <x v="1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x v="0"/>
    <n v="521"/>
    <n v="2"/>
    <x v="0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x v="0"/>
    <n v="522"/>
    <n v="1"/>
    <x v="1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x v="0"/>
    <n v="523"/>
    <n v="3"/>
    <x v="0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x v="0"/>
    <n v="524"/>
    <n v="2"/>
    <x v="0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x v="0"/>
    <n v="525"/>
    <n v="4"/>
    <x v="1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x v="0"/>
    <n v="526"/>
    <n v="3"/>
    <x v="0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x v="0"/>
    <n v="527"/>
    <n v="2"/>
    <x v="0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x v="0"/>
    <n v="529"/>
    <n v="2"/>
    <x v="0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x v="0"/>
    <n v="530"/>
    <n v="4"/>
    <x v="1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x v="0"/>
    <n v="531"/>
    <n v="2"/>
    <x v="1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x v="0"/>
    <n v="532"/>
    <n v="3"/>
    <x v="0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x v="0"/>
    <n v="533"/>
    <n v="2"/>
    <x v="0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x v="0"/>
    <n v="534"/>
    <n v="2"/>
    <x v="1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x v="0"/>
    <n v="536"/>
    <n v="3"/>
    <x v="1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x v="0"/>
    <n v="538"/>
    <n v="1"/>
    <x v="1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x v="0"/>
    <n v="543"/>
    <n v="4"/>
    <x v="1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x v="0"/>
    <n v="544"/>
    <n v="1"/>
    <x v="1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x v="0"/>
    <n v="546"/>
    <n v="4"/>
    <x v="0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x v="0"/>
    <n v="547"/>
    <n v="1"/>
    <x v="0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x v="0"/>
    <n v="548"/>
    <n v="3"/>
    <x v="0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x v="0"/>
    <n v="549"/>
    <n v="1"/>
    <x v="0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x v="0"/>
    <n v="550"/>
    <n v="3"/>
    <x v="0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x v="0"/>
    <n v="551"/>
    <n v="4"/>
    <x v="0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x v="0"/>
    <n v="554"/>
    <n v="1"/>
    <x v="0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x v="0"/>
    <n v="555"/>
    <n v="4"/>
    <x v="0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x v="0"/>
    <n v="556"/>
    <n v="4"/>
    <x v="1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x v="0"/>
    <n v="558"/>
    <n v="3"/>
    <x v="0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x v="0"/>
    <n v="560"/>
    <n v="1"/>
    <x v="0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x v="0"/>
    <n v="562"/>
    <n v="3"/>
    <x v="1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x v="0"/>
    <n v="564"/>
    <n v="2"/>
    <x v="1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x v="0"/>
    <n v="565"/>
    <n v="3"/>
    <x v="0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x v="0"/>
    <n v="566"/>
    <n v="1"/>
    <x v="1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x v="0"/>
    <n v="567"/>
    <n v="3"/>
    <x v="0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x v="0"/>
    <n v="568"/>
    <n v="1"/>
    <x v="1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x v="0"/>
    <n v="569"/>
    <n v="2"/>
    <x v="1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x v="0"/>
    <n v="571"/>
    <n v="3"/>
    <x v="0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x v="0"/>
    <n v="573"/>
    <n v="3"/>
    <x v="0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x v="0"/>
    <n v="574"/>
    <n v="1"/>
    <x v="0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x v="0"/>
    <n v="575"/>
    <n v="1"/>
    <x v="1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x v="0"/>
    <n v="577"/>
    <n v="4"/>
    <x v="1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x v="0"/>
    <n v="578"/>
    <n v="3"/>
    <x v="0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x v="0"/>
    <n v="579"/>
    <n v="4"/>
    <x v="1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x v="0"/>
    <n v="580"/>
    <n v="3"/>
    <x v="0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x v="0"/>
    <n v="581"/>
    <n v="3"/>
    <x v="1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x v="0"/>
    <n v="582"/>
    <n v="2"/>
    <x v="1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x v="0"/>
    <n v="584"/>
    <n v="1"/>
    <x v="1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x v="0"/>
    <n v="585"/>
    <n v="4"/>
    <x v="1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x v="0"/>
    <n v="586"/>
    <n v="4"/>
    <x v="1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x v="0"/>
    <n v="587"/>
    <n v="1"/>
    <x v="1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x v="0"/>
    <n v="590"/>
    <n v="2"/>
    <x v="0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x v="0"/>
    <n v="591"/>
    <n v="2"/>
    <x v="1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x v="0"/>
    <n v="592"/>
    <n v="2"/>
    <x v="1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x v="0"/>
    <n v="593"/>
    <n v="3"/>
    <x v="1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x v="0"/>
    <n v="595"/>
    <n v="2"/>
    <x v="0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x v="0"/>
    <n v="597"/>
    <n v="1"/>
    <x v="0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x v="0"/>
    <n v="599"/>
    <n v="4"/>
    <x v="1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x v="0"/>
    <n v="600"/>
    <n v="2"/>
    <x v="1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x v="0"/>
    <n v="601"/>
    <n v="2"/>
    <x v="0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x v="0"/>
    <n v="602"/>
    <n v="3"/>
    <x v="0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x v="0"/>
    <n v="604"/>
    <n v="2"/>
    <x v="1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x v="0"/>
    <n v="605"/>
    <n v="4"/>
    <x v="1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x v="0"/>
    <n v="606"/>
    <n v="4"/>
    <x v="1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x v="0"/>
    <n v="608"/>
    <n v="2"/>
    <x v="0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x v="0"/>
    <n v="611"/>
    <n v="4"/>
    <x v="1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x v="0"/>
    <n v="612"/>
    <n v="1"/>
    <x v="0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x v="0"/>
    <n v="613"/>
    <n v="3"/>
    <x v="1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x v="0"/>
    <n v="614"/>
    <n v="2"/>
    <x v="1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x v="0"/>
    <n v="615"/>
    <n v="3"/>
    <x v="1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x v="0"/>
    <n v="616"/>
    <n v="1"/>
    <x v="0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x v="0"/>
    <n v="618"/>
    <n v="1"/>
    <x v="1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x v="0"/>
    <n v="620"/>
    <n v="1"/>
    <x v="0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x v="0"/>
    <n v="621"/>
    <n v="4"/>
    <x v="1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x v="0"/>
    <n v="622"/>
    <n v="3"/>
    <x v="1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x v="0"/>
    <n v="623"/>
    <n v="2"/>
    <x v="0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x v="0"/>
    <n v="624"/>
    <n v="1"/>
    <x v="0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x v="0"/>
    <n v="625"/>
    <n v="2"/>
    <x v="0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x v="0"/>
    <n v="626"/>
    <n v="1"/>
    <x v="1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x v="0"/>
    <n v="630"/>
    <n v="4"/>
    <x v="1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x v="0"/>
    <n v="631"/>
    <n v="4"/>
    <x v="1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x v="0"/>
    <n v="632"/>
    <n v="4"/>
    <x v="1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x v="0"/>
    <n v="634"/>
    <n v="3"/>
    <x v="0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x v="0"/>
    <n v="635"/>
    <n v="2"/>
    <x v="0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x v="0"/>
    <n v="638"/>
    <n v="4"/>
    <x v="1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x v="0"/>
    <n v="639"/>
    <n v="2"/>
    <x v="1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x v="0"/>
    <n v="641"/>
    <n v="1"/>
    <x v="1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x v="0"/>
    <n v="643"/>
    <n v="4"/>
    <x v="1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x v="0"/>
    <n v="644"/>
    <n v="1"/>
    <x v="1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x v="0"/>
    <n v="645"/>
    <n v="2"/>
    <x v="1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x v="0"/>
    <n v="647"/>
    <n v="1"/>
    <x v="0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x v="0"/>
    <n v="648"/>
    <n v="2"/>
    <x v="1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x v="0"/>
    <n v="649"/>
    <n v="2"/>
    <x v="1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x v="0"/>
    <n v="650"/>
    <n v="2"/>
    <x v="1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x v="0"/>
    <n v="652"/>
    <n v="1"/>
    <x v="1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x v="0"/>
    <n v="653"/>
    <n v="1"/>
    <x v="1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x v="0"/>
    <n v="655"/>
    <n v="1"/>
    <x v="0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x v="0"/>
    <n v="656"/>
    <n v="4"/>
    <x v="1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x v="0"/>
    <n v="657"/>
    <n v="4"/>
    <x v="0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x v="0"/>
    <n v="659"/>
    <n v="3"/>
    <x v="0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x v="0"/>
    <n v="661"/>
    <n v="2"/>
    <x v="1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x v="0"/>
    <n v="662"/>
    <n v="3"/>
    <x v="0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x v="0"/>
    <n v="663"/>
    <n v="4"/>
    <x v="1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x v="0"/>
    <n v="664"/>
    <n v="4"/>
    <x v="0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x v="0"/>
    <n v="665"/>
    <n v="1"/>
    <x v="0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x v="0"/>
    <n v="666"/>
    <n v="3"/>
    <x v="0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x v="0"/>
    <n v="667"/>
    <n v="3"/>
    <x v="1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x v="0"/>
    <n v="669"/>
    <n v="3"/>
    <x v="1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x v="0"/>
    <n v="671"/>
    <n v="4"/>
    <x v="1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x v="0"/>
    <n v="675"/>
    <n v="1"/>
    <x v="1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x v="0"/>
    <n v="677"/>
    <n v="3"/>
    <x v="1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x v="0"/>
    <n v="679"/>
    <n v="1"/>
    <x v="0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x v="0"/>
    <n v="680"/>
    <n v="3"/>
    <x v="0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x v="0"/>
    <n v="682"/>
    <n v="4"/>
    <x v="0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x v="0"/>
    <n v="683"/>
    <n v="2"/>
    <x v="1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x v="0"/>
    <n v="684"/>
    <n v="1"/>
    <x v="0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x v="0"/>
    <n v="686"/>
    <n v="3"/>
    <x v="0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x v="0"/>
    <n v="689"/>
    <n v="3"/>
    <x v="1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x v="0"/>
    <n v="690"/>
    <n v="2"/>
    <x v="0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x v="0"/>
    <n v="691"/>
    <n v="2"/>
    <x v="1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x v="0"/>
    <n v="692"/>
    <n v="3"/>
    <x v="1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x v="0"/>
    <n v="698"/>
    <n v="3"/>
    <x v="1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x v="0"/>
    <n v="699"/>
    <n v="2"/>
    <x v="1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x v="0"/>
    <n v="700"/>
    <n v="1"/>
    <x v="1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x v="0"/>
    <n v="701"/>
    <n v="4"/>
    <x v="1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x v="0"/>
    <n v="702"/>
    <n v="1"/>
    <x v="1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x v="0"/>
    <n v="704"/>
    <n v="3"/>
    <x v="1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x v="0"/>
    <n v="705"/>
    <n v="1"/>
    <x v="1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x v="0"/>
    <n v="707"/>
    <n v="4"/>
    <x v="1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x v="0"/>
    <n v="709"/>
    <n v="4"/>
    <x v="0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x v="0"/>
    <n v="710"/>
    <n v="2"/>
    <x v="1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x v="0"/>
    <n v="712"/>
    <n v="2"/>
    <x v="1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x v="0"/>
    <n v="714"/>
    <n v="4"/>
    <x v="0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x v="0"/>
    <n v="715"/>
    <n v="4"/>
    <x v="1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x v="0"/>
    <n v="716"/>
    <n v="4"/>
    <x v="1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x v="0"/>
    <n v="717"/>
    <n v="4"/>
    <x v="0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x v="0"/>
    <n v="720"/>
    <n v="1"/>
    <x v="0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x v="0"/>
    <n v="721"/>
    <n v="4"/>
    <x v="0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x v="0"/>
    <n v="722"/>
    <n v="4"/>
    <x v="1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x v="0"/>
    <n v="723"/>
    <n v="2"/>
    <x v="1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x v="0"/>
    <n v="724"/>
    <n v="2"/>
    <x v="0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x v="0"/>
    <n v="725"/>
    <n v="3"/>
    <x v="0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x v="0"/>
    <n v="727"/>
    <n v="3"/>
    <x v="0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x v="0"/>
    <n v="728"/>
    <n v="4"/>
    <x v="1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x v="0"/>
    <n v="729"/>
    <n v="4"/>
    <x v="1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x v="0"/>
    <n v="730"/>
    <n v="3"/>
    <x v="1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x v="0"/>
    <n v="731"/>
    <n v="2"/>
    <x v="1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x v="0"/>
    <n v="732"/>
    <n v="1"/>
    <x v="1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x v="0"/>
    <n v="733"/>
    <n v="4"/>
    <x v="1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x v="0"/>
    <n v="734"/>
    <n v="4"/>
    <x v="1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x v="0"/>
    <n v="738"/>
    <n v="4"/>
    <x v="1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x v="0"/>
    <n v="741"/>
    <n v="1"/>
    <x v="0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x v="0"/>
    <n v="742"/>
    <n v="1"/>
    <x v="0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x v="0"/>
    <n v="743"/>
    <n v="3"/>
    <x v="0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x v="0"/>
    <n v="744"/>
    <n v="1"/>
    <x v="1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x v="0"/>
    <n v="746"/>
    <n v="4"/>
    <x v="0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x v="0"/>
    <n v="747"/>
    <n v="3"/>
    <x v="1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x v="0"/>
    <n v="749"/>
    <n v="3"/>
    <x v="1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x v="0"/>
    <n v="752"/>
    <n v="3"/>
    <x v="1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x v="0"/>
    <n v="754"/>
    <n v="4"/>
    <x v="1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x v="0"/>
    <n v="757"/>
    <n v="2"/>
    <x v="0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x v="0"/>
    <n v="758"/>
    <n v="2"/>
    <x v="1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x v="0"/>
    <n v="760"/>
    <n v="3"/>
    <x v="0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x v="0"/>
    <n v="762"/>
    <n v="3"/>
    <x v="1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x v="0"/>
    <n v="763"/>
    <n v="4"/>
    <x v="0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x v="0"/>
    <n v="764"/>
    <n v="4"/>
    <x v="0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x v="0"/>
    <n v="766"/>
    <n v="4"/>
    <x v="1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x v="0"/>
    <n v="769"/>
    <n v="4"/>
    <x v="1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x v="0"/>
    <n v="771"/>
    <n v="4"/>
    <x v="0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x v="0"/>
    <n v="772"/>
    <n v="1"/>
    <x v="1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x v="0"/>
    <n v="773"/>
    <n v="4"/>
    <x v="1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x v="0"/>
    <n v="775"/>
    <n v="2"/>
    <x v="0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x v="0"/>
    <n v="776"/>
    <n v="3"/>
    <x v="1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x v="0"/>
    <n v="780"/>
    <n v="4"/>
    <x v="1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x v="0"/>
    <n v="781"/>
    <n v="3"/>
    <x v="0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x v="0"/>
    <n v="783"/>
    <n v="2"/>
    <x v="1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x v="0"/>
    <n v="784"/>
    <n v="1"/>
    <x v="1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x v="0"/>
    <n v="785"/>
    <n v="2"/>
    <x v="0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x v="0"/>
    <n v="786"/>
    <n v="4"/>
    <x v="1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x v="0"/>
    <n v="787"/>
    <n v="4"/>
    <x v="1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x v="0"/>
    <n v="789"/>
    <n v="1"/>
    <x v="1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x v="0"/>
    <n v="791"/>
    <n v="4"/>
    <x v="1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x v="0"/>
    <n v="792"/>
    <n v="1"/>
    <x v="0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x v="0"/>
    <n v="793"/>
    <n v="2"/>
    <x v="0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x v="0"/>
    <n v="796"/>
    <n v="4"/>
    <x v="1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x v="0"/>
    <n v="797"/>
    <n v="2"/>
    <x v="0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x v="0"/>
    <n v="799"/>
    <n v="4"/>
    <x v="0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x v="0"/>
    <n v="800"/>
    <n v="3"/>
    <x v="1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x v="0"/>
    <n v="802"/>
    <n v="4"/>
    <x v="0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x v="0"/>
    <n v="803"/>
    <n v="1"/>
    <x v="0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x v="0"/>
    <n v="804"/>
    <n v="3"/>
    <x v="0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x v="0"/>
    <n v="805"/>
    <n v="1"/>
    <x v="0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x v="0"/>
    <n v="806"/>
    <n v="4"/>
    <x v="1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x v="0"/>
    <n v="807"/>
    <n v="3"/>
    <x v="0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x v="0"/>
    <n v="808"/>
    <n v="3"/>
    <x v="0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x v="0"/>
    <n v="809"/>
    <n v="2"/>
    <x v="1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x v="0"/>
    <n v="811"/>
    <n v="3"/>
    <x v="1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x v="0"/>
    <n v="812"/>
    <n v="3"/>
    <x v="1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x v="0"/>
    <n v="813"/>
    <n v="4"/>
    <x v="0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x v="0"/>
    <n v="815"/>
    <n v="3"/>
    <x v="1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x v="0"/>
    <n v="816"/>
    <n v="2"/>
    <x v="0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x v="0"/>
    <n v="817"/>
    <n v="3"/>
    <x v="1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x v="0"/>
    <n v="819"/>
    <n v="1"/>
    <x v="0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x v="0"/>
    <n v="820"/>
    <n v="3"/>
    <x v="0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x v="0"/>
    <n v="823"/>
    <n v="3"/>
    <x v="0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x v="0"/>
    <n v="824"/>
    <n v="3"/>
    <x v="1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x v="0"/>
    <n v="825"/>
    <n v="4"/>
    <x v="1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x v="0"/>
    <n v="826"/>
    <n v="4"/>
    <x v="0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x v="0"/>
    <n v="827"/>
    <n v="4"/>
    <x v="0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x v="0"/>
    <n v="828"/>
    <n v="3"/>
    <x v="1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x v="0"/>
    <n v="829"/>
    <n v="3"/>
    <x v="1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x v="0"/>
    <n v="830"/>
    <n v="3"/>
    <x v="0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x v="0"/>
    <n v="832"/>
    <n v="1"/>
    <x v="1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x v="0"/>
    <n v="833"/>
    <n v="3"/>
    <x v="0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x v="0"/>
    <n v="834"/>
    <n v="2"/>
    <x v="0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x v="0"/>
    <n v="836"/>
    <n v="2"/>
    <x v="1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x v="0"/>
    <n v="837"/>
    <n v="1"/>
    <x v="1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x v="0"/>
    <n v="838"/>
    <n v="3"/>
    <x v="0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x v="0"/>
    <n v="840"/>
    <n v="3"/>
    <x v="0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x v="0"/>
    <n v="842"/>
    <n v="3"/>
    <x v="1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x v="0"/>
    <n v="843"/>
    <n v="2"/>
    <x v="1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x v="0"/>
    <n v="844"/>
    <n v="3"/>
    <x v="1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x v="0"/>
    <n v="845"/>
    <n v="3"/>
    <x v="1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x v="0"/>
    <n v="846"/>
    <n v="2"/>
    <x v="0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x v="0"/>
    <n v="847"/>
    <n v="3"/>
    <x v="1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x v="0"/>
    <n v="848"/>
    <n v="3"/>
    <x v="0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x v="0"/>
    <n v="850"/>
    <n v="4"/>
    <x v="1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x v="0"/>
    <n v="851"/>
    <n v="1"/>
    <x v="0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x v="0"/>
    <n v="852"/>
    <n v="4"/>
    <x v="1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x v="0"/>
    <n v="854"/>
    <n v="1"/>
    <x v="1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x v="0"/>
    <n v="855"/>
    <n v="1"/>
    <x v="1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x v="0"/>
    <n v="856"/>
    <n v="3"/>
    <x v="0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x v="0"/>
    <n v="857"/>
    <n v="2"/>
    <x v="1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x v="0"/>
    <n v="859"/>
    <n v="2"/>
    <x v="1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x v="0"/>
    <n v="861"/>
    <n v="2"/>
    <x v="1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x v="0"/>
    <n v="862"/>
    <n v="1"/>
    <x v="0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x v="0"/>
    <n v="864"/>
    <n v="4"/>
    <x v="1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x v="0"/>
    <n v="865"/>
    <n v="3"/>
    <x v="0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x v="0"/>
    <n v="867"/>
    <n v="3"/>
    <x v="0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x v="0"/>
    <n v="868"/>
    <n v="4"/>
    <x v="1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x v="0"/>
    <n v="869"/>
    <n v="2"/>
    <x v="1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x v="0"/>
    <n v="872"/>
    <n v="4"/>
    <x v="1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x v="0"/>
    <n v="874"/>
    <n v="1"/>
    <x v="1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x v="0"/>
    <n v="875"/>
    <n v="2"/>
    <x v="1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x v="0"/>
    <n v="878"/>
    <n v="1"/>
    <x v="1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x v="0"/>
    <n v="879"/>
    <n v="3"/>
    <x v="1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x v="0"/>
    <n v="880"/>
    <n v="4"/>
    <x v="0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x v="0"/>
    <n v="881"/>
    <n v="4"/>
    <x v="0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x v="0"/>
    <n v="882"/>
    <n v="4"/>
    <x v="1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x v="0"/>
    <n v="885"/>
    <n v="3"/>
    <x v="1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x v="0"/>
    <n v="887"/>
    <n v="3"/>
    <x v="0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x v="0"/>
    <n v="888"/>
    <n v="1"/>
    <x v="1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x v="0"/>
    <n v="889"/>
    <n v="2"/>
    <x v="1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x v="0"/>
    <n v="893"/>
    <n v="2"/>
    <x v="1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x v="0"/>
    <n v="894"/>
    <n v="3"/>
    <x v="0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x v="0"/>
    <n v="895"/>
    <n v="4"/>
    <x v="1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x v="0"/>
    <n v="896"/>
    <n v="2"/>
    <x v="0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x v="0"/>
    <n v="897"/>
    <n v="1"/>
    <x v="1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x v="0"/>
    <n v="899"/>
    <n v="4"/>
    <x v="1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x v="0"/>
    <n v="900"/>
    <n v="3"/>
    <x v="0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x v="0"/>
    <n v="901"/>
    <n v="4"/>
    <x v="0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x v="0"/>
    <n v="902"/>
    <n v="4"/>
    <x v="0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x v="0"/>
    <n v="903"/>
    <n v="3"/>
    <x v="0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x v="0"/>
    <n v="904"/>
    <n v="1"/>
    <x v="1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x v="0"/>
    <n v="905"/>
    <n v="1"/>
    <x v="1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x v="0"/>
    <n v="909"/>
    <n v="4"/>
    <x v="0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x v="0"/>
    <n v="910"/>
    <n v="4"/>
    <x v="1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x v="0"/>
    <n v="911"/>
    <n v="1"/>
    <x v="1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x v="0"/>
    <n v="912"/>
    <n v="1"/>
    <x v="0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x v="0"/>
    <n v="913"/>
    <n v="2"/>
    <x v="1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x v="0"/>
    <n v="916"/>
    <n v="1"/>
    <x v="1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x v="0"/>
    <n v="918"/>
    <n v="4"/>
    <x v="1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x v="0"/>
    <n v="920"/>
    <n v="1"/>
    <x v="0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x v="0"/>
    <n v="922"/>
    <n v="3"/>
    <x v="0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x v="0"/>
    <n v="923"/>
    <n v="4"/>
    <x v="0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x v="0"/>
    <n v="924"/>
    <n v="3"/>
    <x v="1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x v="0"/>
    <n v="925"/>
    <n v="4"/>
    <x v="0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x v="0"/>
    <n v="926"/>
    <n v="2"/>
    <x v="0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x v="0"/>
    <n v="927"/>
    <n v="2"/>
    <x v="0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x v="0"/>
    <n v="930"/>
    <n v="3"/>
    <x v="0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x v="0"/>
    <n v="932"/>
    <n v="4"/>
    <x v="1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x v="0"/>
    <n v="933"/>
    <n v="2"/>
    <x v="0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x v="0"/>
    <n v="934"/>
    <n v="2"/>
    <x v="1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x v="0"/>
    <n v="936"/>
    <n v="3"/>
    <x v="0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x v="0"/>
    <n v="939"/>
    <n v="3"/>
    <x v="1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x v="0"/>
    <n v="940"/>
    <n v="3"/>
    <x v="0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x v="0"/>
    <n v="941"/>
    <n v="2"/>
    <x v="1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x v="0"/>
    <n v="942"/>
    <n v="4"/>
    <x v="0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x v="0"/>
    <n v="944"/>
    <n v="1"/>
    <x v="0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x v="0"/>
    <n v="945"/>
    <n v="4"/>
    <x v="1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x v="0"/>
    <n v="947"/>
    <n v="4"/>
    <x v="0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x v="0"/>
    <n v="949"/>
    <n v="2"/>
    <x v="1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x v="0"/>
    <n v="950"/>
    <n v="4"/>
    <x v="0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x v="0"/>
    <n v="951"/>
    <n v="3"/>
    <x v="0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x v="0"/>
    <n v="952"/>
    <n v="3"/>
    <x v="1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x v="0"/>
    <n v="954"/>
    <n v="1"/>
    <x v="1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x v="0"/>
    <n v="956"/>
    <n v="3"/>
    <x v="1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x v="0"/>
    <n v="957"/>
    <n v="4"/>
    <x v="1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x v="0"/>
    <n v="958"/>
    <n v="3"/>
    <x v="1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x v="0"/>
    <n v="959"/>
    <n v="4"/>
    <x v="1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x v="0"/>
    <n v="960"/>
    <n v="1"/>
    <x v="1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x v="0"/>
    <n v="961"/>
    <n v="4"/>
    <x v="0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x v="0"/>
    <n v="964"/>
    <n v="4"/>
    <x v="1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x v="0"/>
    <n v="966"/>
    <n v="3"/>
    <x v="0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x v="0"/>
    <n v="967"/>
    <n v="3"/>
    <x v="1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x v="0"/>
    <n v="969"/>
    <n v="2"/>
    <x v="0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x v="0"/>
    <n v="970"/>
    <n v="1"/>
    <x v="1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x v="0"/>
    <n v="972"/>
    <n v="3"/>
    <x v="1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x v="0"/>
    <n v="974"/>
    <n v="3"/>
    <x v="0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x v="0"/>
    <n v="975"/>
    <n v="3"/>
    <x v="0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x v="0"/>
    <n v="976"/>
    <n v="4"/>
    <x v="1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x v="0"/>
    <n v="977"/>
    <n v="4"/>
    <x v="1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x v="0"/>
    <n v="981"/>
    <n v="3"/>
    <x v="1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x v="0"/>
    <n v="982"/>
    <n v="3"/>
    <x v="1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x v="0"/>
    <n v="983"/>
    <n v="3"/>
    <x v="0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x v="0"/>
    <n v="984"/>
    <n v="4"/>
    <x v="1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x v="0"/>
    <n v="985"/>
    <n v="1"/>
    <x v="1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x v="0"/>
    <n v="986"/>
    <n v="2"/>
    <x v="0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x v="0"/>
    <n v="987"/>
    <n v="3"/>
    <x v="1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x v="0"/>
    <n v="990"/>
    <n v="1"/>
    <x v="1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x v="0"/>
    <n v="991"/>
    <n v="3"/>
    <x v="1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x v="0"/>
    <n v="992"/>
    <n v="4"/>
    <x v="1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x v="0"/>
    <n v="994"/>
    <n v="4"/>
    <x v="0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x v="0"/>
    <n v="995"/>
    <n v="2"/>
    <x v="0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x v="0"/>
    <n v="996"/>
    <n v="4"/>
    <x v="0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x v="0"/>
    <n v="997"/>
    <n v="4"/>
    <x v="1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x v="0"/>
    <n v="998"/>
    <n v="3"/>
    <x v="0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x v="0"/>
    <n v="999"/>
    <n v="1"/>
    <x v="1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x v="0"/>
    <n v="1001"/>
    <n v="3"/>
    <x v="0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x v="0"/>
    <n v="1002"/>
    <n v="4"/>
    <x v="1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x v="0"/>
    <n v="1003"/>
    <n v="4"/>
    <x v="0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x v="0"/>
    <n v="1004"/>
    <n v="1"/>
    <x v="0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x v="0"/>
    <n v="1005"/>
    <n v="4"/>
    <x v="1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x v="0"/>
    <n v="1006"/>
    <n v="3"/>
    <x v="1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x v="0"/>
    <n v="1007"/>
    <n v="4"/>
    <x v="1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x v="0"/>
    <n v="1009"/>
    <n v="4"/>
    <x v="0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x v="0"/>
    <n v="1010"/>
    <n v="3"/>
    <x v="1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x v="0"/>
    <n v="1011"/>
    <n v="3"/>
    <x v="0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x v="0"/>
    <n v="1012"/>
    <n v="2"/>
    <x v="1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x v="0"/>
    <n v="1013"/>
    <n v="3"/>
    <x v="0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x v="0"/>
    <n v="1014"/>
    <n v="3"/>
    <x v="0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x v="0"/>
    <n v="1015"/>
    <n v="2"/>
    <x v="0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x v="0"/>
    <n v="1016"/>
    <n v="4"/>
    <x v="0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x v="0"/>
    <n v="1017"/>
    <n v="2"/>
    <x v="0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x v="0"/>
    <n v="1018"/>
    <n v="4"/>
    <x v="1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x v="0"/>
    <n v="1019"/>
    <n v="2"/>
    <x v="1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x v="0"/>
    <n v="1022"/>
    <n v="1"/>
    <x v="1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x v="0"/>
    <n v="1024"/>
    <n v="3"/>
    <x v="1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x v="0"/>
    <n v="1025"/>
    <n v="4"/>
    <x v="0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x v="0"/>
    <n v="1026"/>
    <n v="4"/>
    <x v="0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x v="0"/>
    <n v="1027"/>
    <n v="1"/>
    <x v="0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x v="0"/>
    <n v="1028"/>
    <n v="2"/>
    <x v="1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x v="0"/>
    <n v="1029"/>
    <n v="4"/>
    <x v="1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x v="0"/>
    <n v="1030"/>
    <n v="1"/>
    <x v="1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x v="0"/>
    <n v="1032"/>
    <n v="3"/>
    <x v="0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x v="0"/>
    <n v="1033"/>
    <n v="1"/>
    <x v="0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x v="0"/>
    <n v="1034"/>
    <n v="3"/>
    <x v="1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x v="0"/>
    <n v="1035"/>
    <n v="2"/>
    <x v="0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x v="0"/>
    <n v="1036"/>
    <n v="2"/>
    <x v="1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x v="0"/>
    <n v="1037"/>
    <n v="2"/>
    <x v="1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x v="0"/>
    <n v="1038"/>
    <n v="1"/>
    <x v="0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x v="0"/>
    <n v="1039"/>
    <n v="4"/>
    <x v="0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x v="0"/>
    <n v="1040"/>
    <n v="4"/>
    <x v="0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x v="0"/>
    <n v="1042"/>
    <n v="3"/>
    <x v="0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x v="0"/>
    <n v="1043"/>
    <n v="4"/>
    <x v="0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x v="0"/>
    <n v="1044"/>
    <n v="2"/>
    <x v="0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x v="0"/>
    <n v="1045"/>
    <n v="4"/>
    <x v="0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x v="0"/>
    <n v="1046"/>
    <n v="4"/>
    <x v="0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x v="0"/>
    <n v="1047"/>
    <n v="2"/>
    <x v="1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x v="0"/>
    <n v="1048"/>
    <n v="2"/>
    <x v="1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x v="0"/>
    <n v="1049"/>
    <n v="2"/>
    <x v="1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x v="0"/>
    <n v="1050"/>
    <n v="3"/>
    <x v="0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x v="0"/>
    <n v="1052"/>
    <n v="1"/>
    <x v="1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x v="0"/>
    <n v="1053"/>
    <n v="1"/>
    <x v="1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x v="0"/>
    <n v="1055"/>
    <n v="3"/>
    <x v="0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x v="0"/>
    <n v="1056"/>
    <n v="4"/>
    <x v="1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x v="0"/>
    <n v="1060"/>
    <n v="3"/>
    <x v="1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x v="0"/>
    <n v="1061"/>
    <n v="2"/>
    <x v="1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x v="0"/>
    <n v="1062"/>
    <n v="4"/>
    <x v="0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x v="0"/>
    <n v="1066"/>
    <n v="3"/>
    <x v="1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x v="0"/>
    <n v="1068"/>
    <n v="1"/>
    <x v="0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x v="0"/>
    <n v="1069"/>
    <n v="4"/>
    <x v="1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x v="0"/>
    <n v="1070"/>
    <n v="3"/>
    <x v="0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x v="0"/>
    <n v="1071"/>
    <n v="1"/>
    <x v="0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x v="0"/>
    <n v="1073"/>
    <n v="4"/>
    <x v="0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x v="0"/>
    <n v="1074"/>
    <n v="3"/>
    <x v="1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x v="0"/>
    <n v="1076"/>
    <n v="3"/>
    <x v="1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x v="0"/>
    <n v="1077"/>
    <n v="4"/>
    <x v="0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x v="0"/>
    <n v="1079"/>
    <n v="3"/>
    <x v="0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x v="0"/>
    <n v="1080"/>
    <n v="4"/>
    <x v="0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x v="0"/>
    <n v="1081"/>
    <n v="1"/>
    <x v="1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x v="0"/>
    <n v="1082"/>
    <n v="2"/>
    <x v="1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x v="0"/>
    <n v="1083"/>
    <n v="1"/>
    <x v="1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x v="0"/>
    <n v="1084"/>
    <n v="3"/>
    <x v="1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x v="0"/>
    <n v="1085"/>
    <n v="2"/>
    <x v="0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x v="0"/>
    <n v="1088"/>
    <n v="3"/>
    <x v="0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x v="0"/>
    <n v="1092"/>
    <n v="1"/>
    <x v="1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x v="0"/>
    <n v="1094"/>
    <n v="1"/>
    <x v="1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x v="0"/>
    <n v="1096"/>
    <n v="4"/>
    <x v="1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x v="0"/>
    <n v="1097"/>
    <n v="3"/>
    <x v="0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x v="0"/>
    <n v="1098"/>
    <n v="2"/>
    <x v="1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x v="0"/>
    <n v="1099"/>
    <n v="4"/>
    <x v="1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x v="0"/>
    <n v="1100"/>
    <n v="4"/>
    <x v="1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x v="0"/>
    <n v="1101"/>
    <n v="1"/>
    <x v="0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x v="0"/>
    <n v="1102"/>
    <n v="1"/>
    <x v="1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x v="0"/>
    <n v="1103"/>
    <n v="1"/>
    <x v="1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x v="0"/>
    <n v="1105"/>
    <n v="4"/>
    <x v="0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x v="0"/>
    <n v="1106"/>
    <n v="4"/>
    <x v="1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x v="0"/>
    <n v="1107"/>
    <n v="1"/>
    <x v="1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x v="0"/>
    <n v="1108"/>
    <n v="1"/>
    <x v="1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x v="0"/>
    <n v="1109"/>
    <n v="4"/>
    <x v="1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x v="0"/>
    <n v="1111"/>
    <n v="1"/>
    <x v="1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x v="0"/>
    <n v="1113"/>
    <n v="4"/>
    <x v="1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x v="0"/>
    <n v="1114"/>
    <n v="4"/>
    <x v="0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x v="0"/>
    <n v="1115"/>
    <n v="3"/>
    <x v="1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x v="0"/>
    <n v="1116"/>
    <n v="1"/>
    <x v="1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x v="0"/>
    <n v="1117"/>
    <n v="2"/>
    <x v="0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x v="0"/>
    <n v="1118"/>
    <n v="2"/>
    <x v="1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x v="0"/>
    <n v="1119"/>
    <n v="3"/>
    <x v="1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x v="0"/>
    <n v="1120"/>
    <n v="3"/>
    <x v="0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x v="0"/>
    <n v="1121"/>
    <n v="4"/>
    <x v="0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x v="0"/>
    <n v="1124"/>
    <n v="1"/>
    <x v="1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x v="0"/>
    <n v="1125"/>
    <n v="4"/>
    <x v="1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x v="0"/>
    <n v="1126"/>
    <n v="3"/>
    <x v="0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x v="0"/>
    <n v="1127"/>
    <n v="1"/>
    <x v="1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x v="0"/>
    <n v="1128"/>
    <n v="3"/>
    <x v="1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x v="0"/>
    <n v="1131"/>
    <n v="4"/>
    <x v="0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x v="0"/>
    <n v="1132"/>
    <n v="3"/>
    <x v="1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x v="0"/>
    <n v="1133"/>
    <n v="1"/>
    <x v="1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x v="0"/>
    <n v="1135"/>
    <n v="3"/>
    <x v="1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x v="0"/>
    <n v="1136"/>
    <n v="1"/>
    <x v="1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x v="0"/>
    <n v="1137"/>
    <n v="4"/>
    <x v="1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x v="0"/>
    <n v="1138"/>
    <n v="4"/>
    <x v="1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x v="0"/>
    <n v="1140"/>
    <n v="4"/>
    <x v="1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x v="0"/>
    <n v="1143"/>
    <n v="4"/>
    <x v="0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x v="0"/>
    <n v="1148"/>
    <n v="2"/>
    <x v="1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x v="0"/>
    <n v="1150"/>
    <n v="2"/>
    <x v="1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x v="0"/>
    <n v="1152"/>
    <n v="3"/>
    <x v="1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x v="0"/>
    <n v="1154"/>
    <n v="3"/>
    <x v="1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x v="0"/>
    <n v="1156"/>
    <n v="3"/>
    <x v="1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x v="0"/>
    <n v="1157"/>
    <n v="1"/>
    <x v="0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x v="0"/>
    <n v="1158"/>
    <n v="2"/>
    <x v="1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x v="0"/>
    <n v="1160"/>
    <n v="3"/>
    <x v="1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x v="0"/>
    <n v="1161"/>
    <n v="3"/>
    <x v="0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x v="0"/>
    <n v="1162"/>
    <n v="4"/>
    <x v="1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x v="0"/>
    <n v="1163"/>
    <n v="2"/>
    <x v="0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x v="0"/>
    <n v="1164"/>
    <n v="3"/>
    <x v="1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x v="0"/>
    <n v="1165"/>
    <n v="4"/>
    <x v="0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x v="0"/>
    <n v="1166"/>
    <n v="2"/>
    <x v="0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x v="0"/>
    <n v="1167"/>
    <n v="3"/>
    <x v="1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x v="0"/>
    <n v="1171"/>
    <n v="2"/>
    <x v="1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x v="0"/>
    <n v="1172"/>
    <n v="4"/>
    <x v="1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x v="0"/>
    <n v="1173"/>
    <n v="4"/>
    <x v="1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x v="0"/>
    <n v="1175"/>
    <n v="3"/>
    <x v="0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x v="0"/>
    <n v="1177"/>
    <n v="1"/>
    <x v="1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x v="0"/>
    <n v="1179"/>
    <n v="3"/>
    <x v="1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x v="0"/>
    <n v="1180"/>
    <n v="3"/>
    <x v="0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x v="0"/>
    <n v="1182"/>
    <n v="3"/>
    <x v="1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x v="0"/>
    <n v="1184"/>
    <n v="4"/>
    <x v="1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x v="0"/>
    <n v="1185"/>
    <n v="4"/>
    <x v="1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x v="0"/>
    <n v="1188"/>
    <n v="1"/>
    <x v="0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x v="0"/>
    <n v="1190"/>
    <n v="3"/>
    <x v="0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x v="0"/>
    <n v="1191"/>
    <n v="4"/>
    <x v="0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x v="0"/>
    <n v="1192"/>
    <n v="2"/>
    <x v="0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x v="0"/>
    <n v="1193"/>
    <n v="3"/>
    <x v="1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x v="0"/>
    <n v="1195"/>
    <n v="1"/>
    <x v="0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x v="0"/>
    <n v="1196"/>
    <n v="4"/>
    <x v="0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x v="0"/>
    <n v="1198"/>
    <n v="1"/>
    <x v="1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x v="0"/>
    <n v="1200"/>
    <n v="3"/>
    <x v="1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x v="0"/>
    <n v="1201"/>
    <n v="4"/>
    <x v="0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x v="0"/>
    <n v="1202"/>
    <n v="2"/>
    <x v="0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x v="0"/>
    <n v="1203"/>
    <n v="3"/>
    <x v="1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x v="0"/>
    <n v="1204"/>
    <n v="3"/>
    <x v="0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x v="0"/>
    <n v="1206"/>
    <n v="4"/>
    <x v="1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x v="0"/>
    <n v="1207"/>
    <n v="2"/>
    <x v="1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x v="0"/>
    <n v="1210"/>
    <n v="1"/>
    <x v="1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x v="0"/>
    <n v="1211"/>
    <n v="3"/>
    <x v="1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x v="0"/>
    <n v="1212"/>
    <n v="2"/>
    <x v="1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x v="0"/>
    <n v="1215"/>
    <n v="4"/>
    <x v="0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x v="0"/>
    <n v="1216"/>
    <n v="4"/>
    <x v="1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x v="0"/>
    <n v="1217"/>
    <n v="4"/>
    <x v="1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x v="0"/>
    <n v="1218"/>
    <n v="3"/>
    <x v="1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x v="0"/>
    <n v="1219"/>
    <n v="4"/>
    <x v="0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x v="0"/>
    <n v="1220"/>
    <n v="2"/>
    <x v="0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x v="0"/>
    <n v="1221"/>
    <n v="3"/>
    <x v="1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x v="0"/>
    <n v="1224"/>
    <n v="3"/>
    <x v="1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x v="0"/>
    <n v="1225"/>
    <n v="4"/>
    <x v="1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x v="0"/>
    <n v="1226"/>
    <n v="3"/>
    <x v="1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x v="0"/>
    <n v="1228"/>
    <n v="4"/>
    <x v="1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x v="0"/>
    <n v="1231"/>
    <n v="4"/>
    <x v="1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x v="0"/>
    <n v="1233"/>
    <n v="2"/>
    <x v="1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x v="0"/>
    <n v="1234"/>
    <n v="3"/>
    <x v="0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x v="0"/>
    <n v="1235"/>
    <n v="4"/>
    <x v="0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x v="0"/>
    <n v="1237"/>
    <n v="3"/>
    <x v="0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x v="0"/>
    <n v="1238"/>
    <n v="1"/>
    <x v="1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x v="0"/>
    <n v="1239"/>
    <n v="2"/>
    <x v="0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x v="0"/>
    <n v="1240"/>
    <n v="3"/>
    <x v="1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x v="0"/>
    <n v="1241"/>
    <n v="4"/>
    <x v="1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x v="0"/>
    <n v="1242"/>
    <n v="1"/>
    <x v="0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x v="0"/>
    <n v="1243"/>
    <n v="3"/>
    <x v="0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x v="0"/>
    <n v="1244"/>
    <n v="1"/>
    <x v="1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x v="0"/>
    <n v="1245"/>
    <n v="4"/>
    <x v="0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x v="0"/>
    <n v="1246"/>
    <n v="1"/>
    <x v="0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x v="0"/>
    <n v="1248"/>
    <n v="1"/>
    <x v="0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x v="0"/>
    <n v="1249"/>
    <n v="1"/>
    <x v="0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x v="0"/>
    <n v="1250"/>
    <n v="4"/>
    <x v="1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x v="0"/>
    <n v="1251"/>
    <n v="3"/>
    <x v="1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x v="0"/>
    <n v="1252"/>
    <n v="3"/>
    <x v="0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x v="0"/>
    <n v="1254"/>
    <n v="3"/>
    <x v="0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x v="0"/>
    <n v="1255"/>
    <n v="3"/>
    <x v="1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x v="0"/>
    <n v="1256"/>
    <n v="1"/>
    <x v="1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x v="0"/>
    <n v="1257"/>
    <n v="3"/>
    <x v="1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x v="0"/>
    <n v="1258"/>
    <n v="4"/>
    <x v="1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x v="0"/>
    <n v="1259"/>
    <n v="1"/>
    <x v="1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x v="0"/>
    <n v="1260"/>
    <n v="3"/>
    <x v="1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x v="0"/>
    <n v="1263"/>
    <n v="4"/>
    <x v="1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x v="0"/>
    <n v="1264"/>
    <n v="4"/>
    <x v="0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x v="0"/>
    <n v="1265"/>
    <n v="3"/>
    <x v="0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x v="0"/>
    <n v="1267"/>
    <n v="2"/>
    <x v="1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x v="0"/>
    <n v="1268"/>
    <n v="4"/>
    <x v="1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x v="0"/>
    <n v="1269"/>
    <n v="2"/>
    <x v="0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x v="0"/>
    <n v="1270"/>
    <n v="4"/>
    <x v="1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x v="0"/>
    <n v="1273"/>
    <n v="3"/>
    <x v="1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x v="0"/>
    <n v="1275"/>
    <n v="3"/>
    <x v="1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x v="0"/>
    <n v="1277"/>
    <n v="1"/>
    <x v="0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x v="0"/>
    <n v="1278"/>
    <n v="4"/>
    <x v="1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x v="0"/>
    <n v="1279"/>
    <n v="1"/>
    <x v="0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x v="0"/>
    <n v="1280"/>
    <n v="4"/>
    <x v="0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x v="0"/>
    <n v="1281"/>
    <n v="3"/>
    <x v="0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x v="0"/>
    <n v="1282"/>
    <n v="4"/>
    <x v="1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x v="0"/>
    <n v="1283"/>
    <n v="4"/>
    <x v="1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x v="0"/>
    <n v="1285"/>
    <n v="3"/>
    <x v="0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x v="0"/>
    <n v="1286"/>
    <n v="4"/>
    <x v="1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x v="0"/>
    <n v="1288"/>
    <n v="3"/>
    <x v="1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x v="0"/>
    <n v="1289"/>
    <n v="3"/>
    <x v="1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x v="0"/>
    <n v="1291"/>
    <n v="3"/>
    <x v="1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x v="0"/>
    <n v="1292"/>
    <n v="2"/>
    <x v="0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x v="0"/>
    <n v="1293"/>
    <n v="4"/>
    <x v="0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x v="0"/>
    <n v="1294"/>
    <n v="3"/>
    <x v="0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x v="0"/>
    <n v="1295"/>
    <n v="1"/>
    <x v="0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x v="0"/>
    <n v="1296"/>
    <n v="4"/>
    <x v="1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x v="0"/>
    <n v="1297"/>
    <n v="2"/>
    <x v="0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x v="0"/>
    <n v="1298"/>
    <n v="3"/>
    <x v="0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x v="0"/>
    <n v="1299"/>
    <n v="2"/>
    <x v="0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x v="0"/>
    <n v="1301"/>
    <n v="4"/>
    <x v="1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x v="0"/>
    <n v="1303"/>
    <n v="4"/>
    <x v="0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x v="0"/>
    <n v="1304"/>
    <n v="3"/>
    <x v="1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x v="0"/>
    <n v="1306"/>
    <n v="2"/>
    <x v="0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x v="0"/>
    <n v="1307"/>
    <n v="3"/>
    <x v="0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x v="0"/>
    <n v="1308"/>
    <n v="1"/>
    <x v="1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x v="0"/>
    <n v="1309"/>
    <n v="4"/>
    <x v="1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x v="0"/>
    <n v="1310"/>
    <n v="3"/>
    <x v="1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x v="0"/>
    <n v="1311"/>
    <n v="1"/>
    <x v="0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x v="0"/>
    <n v="1312"/>
    <n v="4"/>
    <x v="0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x v="0"/>
    <n v="1314"/>
    <n v="4"/>
    <x v="0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x v="0"/>
    <n v="1315"/>
    <n v="3"/>
    <x v="0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x v="0"/>
    <n v="1317"/>
    <n v="4"/>
    <x v="0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x v="0"/>
    <n v="1318"/>
    <n v="4"/>
    <x v="1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x v="0"/>
    <n v="1319"/>
    <n v="2"/>
    <x v="1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x v="0"/>
    <n v="1321"/>
    <n v="2"/>
    <x v="0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x v="0"/>
    <n v="1322"/>
    <n v="1"/>
    <x v="1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x v="0"/>
    <n v="1324"/>
    <n v="4"/>
    <x v="0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x v="0"/>
    <n v="1329"/>
    <n v="3"/>
    <x v="1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x v="0"/>
    <n v="1331"/>
    <n v="4"/>
    <x v="0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x v="0"/>
    <n v="1333"/>
    <n v="1"/>
    <x v="1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x v="0"/>
    <n v="1334"/>
    <n v="3"/>
    <x v="1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x v="0"/>
    <n v="1336"/>
    <n v="4"/>
    <x v="0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x v="0"/>
    <n v="1338"/>
    <n v="4"/>
    <x v="1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x v="0"/>
    <n v="1340"/>
    <n v="3"/>
    <x v="1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x v="0"/>
    <n v="1344"/>
    <n v="4"/>
    <x v="1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x v="0"/>
    <n v="1346"/>
    <n v="3"/>
    <x v="1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x v="0"/>
    <n v="1349"/>
    <n v="3"/>
    <x v="0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x v="0"/>
    <n v="1350"/>
    <n v="3"/>
    <x v="1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x v="0"/>
    <n v="1352"/>
    <n v="3"/>
    <x v="1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x v="0"/>
    <n v="1355"/>
    <n v="2"/>
    <x v="0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x v="0"/>
    <n v="1356"/>
    <n v="3"/>
    <x v="0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x v="0"/>
    <n v="1358"/>
    <n v="4"/>
    <x v="1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x v="0"/>
    <n v="1360"/>
    <n v="3"/>
    <x v="0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x v="0"/>
    <n v="1361"/>
    <n v="2"/>
    <x v="1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x v="0"/>
    <n v="1362"/>
    <n v="1"/>
    <x v="0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x v="0"/>
    <n v="1363"/>
    <n v="4"/>
    <x v="1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x v="0"/>
    <n v="1364"/>
    <n v="3"/>
    <x v="0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x v="0"/>
    <n v="1367"/>
    <n v="4"/>
    <x v="0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x v="0"/>
    <n v="1368"/>
    <n v="4"/>
    <x v="0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x v="0"/>
    <n v="1369"/>
    <n v="4"/>
    <x v="0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x v="0"/>
    <n v="1371"/>
    <n v="4"/>
    <x v="1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x v="0"/>
    <n v="1372"/>
    <n v="1"/>
    <x v="1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x v="0"/>
    <n v="1373"/>
    <n v="4"/>
    <x v="1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x v="0"/>
    <n v="1374"/>
    <n v="1"/>
    <x v="0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x v="0"/>
    <n v="1375"/>
    <n v="2"/>
    <x v="0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x v="0"/>
    <n v="1377"/>
    <n v="2"/>
    <x v="1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x v="0"/>
    <n v="1379"/>
    <n v="3"/>
    <x v="0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x v="0"/>
    <n v="1380"/>
    <n v="4"/>
    <x v="0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x v="0"/>
    <n v="1382"/>
    <n v="4"/>
    <x v="1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x v="0"/>
    <n v="1383"/>
    <n v="3"/>
    <x v="0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x v="0"/>
    <n v="1387"/>
    <n v="3"/>
    <x v="1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x v="0"/>
    <n v="1389"/>
    <n v="4"/>
    <x v="1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x v="0"/>
    <n v="1390"/>
    <n v="1"/>
    <x v="1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x v="0"/>
    <n v="1391"/>
    <n v="2"/>
    <x v="1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x v="0"/>
    <n v="1392"/>
    <n v="4"/>
    <x v="0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x v="0"/>
    <n v="1394"/>
    <n v="3"/>
    <x v="1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x v="0"/>
    <n v="1395"/>
    <n v="2"/>
    <x v="1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x v="0"/>
    <n v="1396"/>
    <n v="3"/>
    <x v="1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x v="0"/>
    <n v="1397"/>
    <n v="3"/>
    <x v="1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x v="0"/>
    <n v="1399"/>
    <n v="1"/>
    <x v="1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x v="0"/>
    <n v="1401"/>
    <n v="4"/>
    <x v="0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x v="0"/>
    <n v="1402"/>
    <n v="1"/>
    <x v="0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x v="0"/>
    <n v="1403"/>
    <n v="4"/>
    <x v="0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x v="0"/>
    <n v="1405"/>
    <n v="4"/>
    <x v="0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x v="0"/>
    <n v="1407"/>
    <n v="1"/>
    <x v="1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x v="0"/>
    <n v="1408"/>
    <n v="3"/>
    <x v="0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x v="0"/>
    <n v="1409"/>
    <n v="3"/>
    <x v="0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x v="0"/>
    <n v="1411"/>
    <n v="1"/>
    <x v="0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x v="0"/>
    <n v="1412"/>
    <n v="3"/>
    <x v="1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x v="0"/>
    <n v="1415"/>
    <n v="1"/>
    <x v="1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x v="0"/>
    <n v="1417"/>
    <n v="3"/>
    <x v="1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x v="0"/>
    <n v="1419"/>
    <n v="2"/>
    <x v="1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x v="0"/>
    <n v="1420"/>
    <n v="1"/>
    <x v="1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x v="0"/>
    <n v="1421"/>
    <n v="3"/>
    <x v="0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x v="0"/>
    <n v="1422"/>
    <n v="4"/>
    <x v="0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x v="0"/>
    <n v="1423"/>
    <n v="4"/>
    <x v="0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x v="0"/>
    <n v="1424"/>
    <n v="2"/>
    <x v="1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x v="0"/>
    <n v="1425"/>
    <n v="1"/>
    <x v="0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x v="0"/>
    <n v="1427"/>
    <n v="2"/>
    <x v="0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x v="0"/>
    <n v="1428"/>
    <n v="4"/>
    <x v="0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x v="0"/>
    <n v="1430"/>
    <n v="1"/>
    <x v="0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x v="0"/>
    <n v="1431"/>
    <n v="4"/>
    <x v="1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x v="0"/>
    <n v="1433"/>
    <n v="1"/>
    <x v="0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x v="0"/>
    <n v="1434"/>
    <n v="2"/>
    <x v="1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x v="0"/>
    <n v="1435"/>
    <n v="1"/>
    <x v="1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x v="0"/>
    <n v="1436"/>
    <n v="3"/>
    <x v="0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x v="0"/>
    <n v="1438"/>
    <n v="1"/>
    <x v="1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x v="0"/>
    <n v="1439"/>
    <n v="1"/>
    <x v="1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x v="0"/>
    <n v="1440"/>
    <n v="3"/>
    <x v="1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x v="0"/>
    <n v="1441"/>
    <n v="1"/>
    <x v="0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x v="0"/>
    <n v="1443"/>
    <n v="1"/>
    <x v="0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x v="0"/>
    <n v="1445"/>
    <n v="4"/>
    <x v="0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x v="0"/>
    <n v="1446"/>
    <n v="4"/>
    <x v="1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x v="0"/>
    <n v="1447"/>
    <n v="4"/>
    <x v="0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x v="0"/>
    <n v="1448"/>
    <n v="2"/>
    <x v="1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x v="0"/>
    <n v="1449"/>
    <n v="3"/>
    <x v="1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x v="0"/>
    <n v="1453"/>
    <n v="1"/>
    <x v="1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x v="0"/>
    <n v="1457"/>
    <n v="1"/>
    <x v="1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x v="0"/>
    <n v="1458"/>
    <n v="1"/>
    <x v="0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x v="0"/>
    <n v="1459"/>
    <n v="3"/>
    <x v="0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x v="0"/>
    <n v="1460"/>
    <n v="2"/>
    <x v="1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x v="0"/>
    <n v="1461"/>
    <n v="4"/>
    <x v="0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x v="0"/>
    <n v="1464"/>
    <n v="2"/>
    <x v="1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x v="0"/>
    <n v="1465"/>
    <n v="2"/>
    <x v="1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x v="0"/>
    <n v="1466"/>
    <n v="3"/>
    <x v="1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x v="0"/>
    <n v="1467"/>
    <n v="1"/>
    <x v="0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x v="0"/>
    <n v="1468"/>
    <n v="4"/>
    <x v="1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x v="0"/>
    <n v="1469"/>
    <n v="4"/>
    <x v="1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x v="0"/>
    <n v="1471"/>
    <n v="3"/>
    <x v="1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x v="0"/>
    <n v="1472"/>
    <n v="4"/>
    <x v="1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x v="0"/>
    <n v="1473"/>
    <n v="1"/>
    <x v="1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x v="0"/>
    <n v="1474"/>
    <n v="3"/>
    <x v="1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x v="0"/>
    <n v="1475"/>
    <n v="4"/>
    <x v="1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x v="0"/>
    <n v="1477"/>
    <n v="4"/>
    <x v="1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x v="0"/>
    <n v="1478"/>
    <n v="4"/>
    <x v="1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x v="0"/>
    <n v="1479"/>
    <n v="4"/>
    <x v="1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x v="0"/>
    <n v="1480"/>
    <n v="1"/>
    <x v="0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x v="0"/>
    <n v="1481"/>
    <n v="1"/>
    <x v="0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x v="0"/>
    <n v="1482"/>
    <n v="3"/>
    <x v="1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x v="0"/>
    <n v="1483"/>
    <n v="2"/>
    <x v="1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x v="0"/>
    <n v="1484"/>
    <n v="3"/>
    <x v="1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x v="0"/>
    <n v="1485"/>
    <n v="2"/>
    <x v="1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x v="0"/>
    <n v="1486"/>
    <n v="1"/>
    <x v="1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x v="0"/>
    <n v="1487"/>
    <n v="1"/>
    <x v="0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x v="0"/>
    <n v="1489"/>
    <n v="1"/>
    <x v="0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x v="0"/>
    <n v="1492"/>
    <n v="4"/>
    <x v="1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x v="0"/>
    <n v="1494"/>
    <n v="2"/>
    <x v="1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x v="0"/>
    <n v="1495"/>
    <n v="4"/>
    <x v="0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x v="0"/>
    <n v="1496"/>
    <n v="2"/>
    <x v="1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x v="0"/>
    <n v="1497"/>
    <n v="3"/>
    <x v="1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x v="0"/>
    <n v="1499"/>
    <n v="3"/>
    <x v="1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x v="0"/>
    <n v="1501"/>
    <n v="4"/>
    <x v="1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x v="0"/>
    <n v="1502"/>
    <n v="1"/>
    <x v="0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x v="0"/>
    <n v="1503"/>
    <n v="3"/>
    <x v="0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x v="0"/>
    <n v="1504"/>
    <n v="3"/>
    <x v="1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x v="0"/>
    <n v="1506"/>
    <n v="1"/>
    <x v="1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x v="0"/>
    <n v="1507"/>
    <n v="3"/>
    <x v="1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x v="0"/>
    <n v="1509"/>
    <n v="3"/>
    <x v="0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x v="0"/>
    <n v="1513"/>
    <n v="4"/>
    <x v="0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x v="0"/>
    <n v="1514"/>
    <n v="3"/>
    <x v="1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x v="0"/>
    <n v="1515"/>
    <n v="4"/>
    <x v="1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x v="0"/>
    <n v="1516"/>
    <n v="3"/>
    <x v="1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x v="0"/>
    <n v="1520"/>
    <n v="2"/>
    <x v="0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x v="0"/>
    <n v="1522"/>
    <n v="1"/>
    <x v="1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x v="0"/>
    <n v="1523"/>
    <n v="4"/>
    <x v="1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x v="0"/>
    <n v="1525"/>
    <n v="2"/>
    <x v="0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x v="0"/>
    <n v="1527"/>
    <n v="3"/>
    <x v="0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x v="0"/>
    <n v="1529"/>
    <n v="4"/>
    <x v="0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x v="0"/>
    <n v="1533"/>
    <n v="1"/>
    <x v="1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x v="0"/>
    <n v="1534"/>
    <n v="4"/>
    <x v="1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x v="0"/>
    <n v="1535"/>
    <n v="4"/>
    <x v="1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x v="0"/>
    <n v="1537"/>
    <n v="4"/>
    <x v="0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x v="0"/>
    <n v="1539"/>
    <n v="3"/>
    <x v="1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x v="0"/>
    <n v="1541"/>
    <n v="2"/>
    <x v="1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x v="0"/>
    <n v="1542"/>
    <n v="3"/>
    <x v="1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x v="0"/>
    <n v="1543"/>
    <n v="1"/>
    <x v="1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x v="0"/>
    <n v="1544"/>
    <n v="3"/>
    <x v="0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x v="0"/>
    <n v="1545"/>
    <n v="4"/>
    <x v="1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x v="0"/>
    <n v="1546"/>
    <n v="4"/>
    <x v="1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x v="0"/>
    <n v="1547"/>
    <n v="4"/>
    <x v="1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x v="0"/>
    <n v="1548"/>
    <n v="1"/>
    <x v="1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x v="0"/>
    <n v="1549"/>
    <n v="2"/>
    <x v="1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x v="0"/>
    <n v="1550"/>
    <n v="3"/>
    <x v="1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x v="0"/>
    <n v="1551"/>
    <n v="3"/>
    <x v="1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x v="0"/>
    <n v="1552"/>
    <n v="4"/>
    <x v="1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x v="0"/>
    <n v="1553"/>
    <n v="1"/>
    <x v="1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x v="0"/>
    <n v="1554"/>
    <n v="2"/>
    <x v="0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x v="0"/>
    <n v="1555"/>
    <n v="4"/>
    <x v="0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x v="0"/>
    <n v="1556"/>
    <n v="3"/>
    <x v="1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x v="0"/>
    <n v="1557"/>
    <n v="3"/>
    <x v="0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x v="0"/>
    <n v="1558"/>
    <n v="3"/>
    <x v="1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x v="0"/>
    <n v="1560"/>
    <n v="1"/>
    <x v="1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x v="0"/>
    <n v="1562"/>
    <n v="2"/>
    <x v="1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x v="0"/>
    <n v="1563"/>
    <n v="3"/>
    <x v="1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x v="0"/>
    <n v="1564"/>
    <n v="4"/>
    <x v="1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x v="0"/>
    <n v="1568"/>
    <n v="3"/>
    <x v="1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x v="0"/>
    <n v="1569"/>
    <n v="1"/>
    <x v="0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x v="0"/>
    <n v="1572"/>
    <n v="3"/>
    <x v="0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x v="0"/>
    <n v="1573"/>
    <n v="3"/>
    <x v="1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x v="0"/>
    <n v="1574"/>
    <n v="4"/>
    <x v="1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x v="0"/>
    <n v="1576"/>
    <n v="3"/>
    <x v="0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x v="0"/>
    <n v="1577"/>
    <n v="1"/>
    <x v="1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x v="0"/>
    <n v="1578"/>
    <n v="3"/>
    <x v="1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x v="0"/>
    <n v="1580"/>
    <n v="2"/>
    <x v="1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x v="0"/>
    <n v="1581"/>
    <n v="1"/>
    <x v="0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x v="0"/>
    <n v="1582"/>
    <n v="3"/>
    <x v="1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x v="0"/>
    <n v="1583"/>
    <n v="2"/>
    <x v="0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x v="0"/>
    <n v="1585"/>
    <n v="2"/>
    <x v="0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x v="0"/>
    <n v="1586"/>
    <n v="2"/>
    <x v="1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x v="0"/>
    <n v="1587"/>
    <n v="1"/>
    <x v="0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x v="0"/>
    <n v="1588"/>
    <n v="4"/>
    <x v="1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x v="0"/>
    <n v="1590"/>
    <n v="1"/>
    <x v="1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x v="0"/>
    <n v="1591"/>
    <n v="3"/>
    <x v="1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x v="0"/>
    <n v="1592"/>
    <n v="4"/>
    <x v="1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x v="0"/>
    <n v="1594"/>
    <n v="1"/>
    <x v="1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x v="0"/>
    <n v="1595"/>
    <n v="4"/>
    <x v="1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x v="0"/>
    <n v="1596"/>
    <n v="2"/>
    <x v="1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x v="0"/>
    <n v="1597"/>
    <n v="4"/>
    <x v="1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x v="0"/>
    <n v="1598"/>
    <n v="4"/>
    <x v="0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x v="0"/>
    <n v="1599"/>
    <n v="4"/>
    <x v="1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x v="0"/>
    <n v="1601"/>
    <n v="3"/>
    <x v="1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x v="0"/>
    <n v="1602"/>
    <n v="4"/>
    <x v="1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x v="0"/>
    <n v="1604"/>
    <n v="3"/>
    <x v="1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x v="0"/>
    <n v="1605"/>
    <n v="2"/>
    <x v="0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x v="0"/>
    <n v="1606"/>
    <n v="2"/>
    <x v="1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x v="0"/>
    <n v="1607"/>
    <n v="2"/>
    <x v="0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x v="0"/>
    <n v="1608"/>
    <n v="2"/>
    <x v="0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x v="0"/>
    <n v="1609"/>
    <n v="2"/>
    <x v="1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x v="0"/>
    <n v="1611"/>
    <n v="3"/>
    <x v="0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x v="0"/>
    <n v="1612"/>
    <n v="1"/>
    <x v="1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x v="0"/>
    <n v="1613"/>
    <n v="4"/>
    <x v="1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x v="0"/>
    <n v="1614"/>
    <n v="3"/>
    <x v="0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x v="0"/>
    <n v="1615"/>
    <n v="3"/>
    <x v="1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x v="0"/>
    <n v="1617"/>
    <n v="3"/>
    <x v="0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x v="0"/>
    <n v="1618"/>
    <n v="2"/>
    <x v="1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x v="0"/>
    <n v="1619"/>
    <n v="4"/>
    <x v="1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x v="0"/>
    <n v="1621"/>
    <n v="2"/>
    <x v="1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x v="0"/>
    <n v="1622"/>
    <n v="2"/>
    <x v="0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x v="0"/>
    <n v="1623"/>
    <n v="3"/>
    <x v="1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x v="0"/>
    <n v="1624"/>
    <n v="2"/>
    <x v="0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x v="0"/>
    <n v="1625"/>
    <n v="4"/>
    <x v="0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x v="0"/>
    <n v="1627"/>
    <n v="3"/>
    <x v="1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x v="0"/>
    <n v="1628"/>
    <n v="1"/>
    <x v="0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x v="0"/>
    <n v="1630"/>
    <n v="3"/>
    <x v="0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x v="0"/>
    <n v="1631"/>
    <n v="3"/>
    <x v="1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x v="0"/>
    <n v="1633"/>
    <n v="1"/>
    <x v="0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x v="0"/>
    <n v="1635"/>
    <n v="4"/>
    <x v="0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x v="0"/>
    <n v="1638"/>
    <n v="4"/>
    <x v="0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x v="0"/>
    <n v="1639"/>
    <n v="4"/>
    <x v="1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x v="0"/>
    <n v="1640"/>
    <n v="2"/>
    <x v="0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x v="0"/>
    <n v="1641"/>
    <n v="3"/>
    <x v="0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x v="0"/>
    <n v="1642"/>
    <n v="1"/>
    <x v="1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x v="0"/>
    <n v="1644"/>
    <n v="3"/>
    <x v="1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x v="0"/>
    <n v="1645"/>
    <n v="1"/>
    <x v="1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x v="0"/>
    <n v="1646"/>
    <n v="1"/>
    <x v="0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x v="0"/>
    <n v="1647"/>
    <n v="2"/>
    <x v="0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x v="0"/>
    <n v="1648"/>
    <n v="4"/>
    <x v="1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x v="0"/>
    <n v="1649"/>
    <n v="1"/>
    <x v="1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x v="0"/>
    <n v="1650"/>
    <n v="3"/>
    <x v="1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x v="0"/>
    <n v="1651"/>
    <n v="2"/>
    <x v="0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x v="0"/>
    <n v="1653"/>
    <n v="4"/>
    <x v="1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x v="0"/>
    <n v="1654"/>
    <n v="4"/>
    <x v="1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x v="0"/>
    <n v="1655"/>
    <n v="1"/>
    <x v="0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x v="0"/>
    <n v="1656"/>
    <n v="4"/>
    <x v="0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x v="0"/>
    <n v="1657"/>
    <n v="3"/>
    <x v="0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x v="0"/>
    <n v="1658"/>
    <n v="4"/>
    <x v="0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x v="0"/>
    <n v="1659"/>
    <n v="1"/>
    <x v="1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x v="0"/>
    <n v="1661"/>
    <n v="3"/>
    <x v="0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x v="0"/>
    <n v="1662"/>
    <n v="4"/>
    <x v="0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x v="0"/>
    <n v="1664"/>
    <n v="4"/>
    <x v="1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x v="0"/>
    <n v="1665"/>
    <n v="2"/>
    <x v="0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x v="0"/>
    <n v="1666"/>
    <n v="3"/>
    <x v="1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x v="0"/>
    <n v="1667"/>
    <n v="4"/>
    <x v="1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x v="0"/>
    <n v="1668"/>
    <n v="4"/>
    <x v="1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x v="0"/>
    <n v="1669"/>
    <n v="1"/>
    <x v="1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x v="0"/>
    <n v="1670"/>
    <n v="4"/>
    <x v="1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x v="0"/>
    <n v="1671"/>
    <n v="4"/>
    <x v="1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x v="0"/>
    <n v="1673"/>
    <n v="1"/>
    <x v="0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x v="0"/>
    <n v="1674"/>
    <n v="4"/>
    <x v="0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x v="0"/>
    <n v="1675"/>
    <n v="4"/>
    <x v="0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x v="0"/>
    <n v="1676"/>
    <n v="2"/>
    <x v="0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x v="0"/>
    <n v="1677"/>
    <n v="3"/>
    <x v="1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x v="0"/>
    <n v="1678"/>
    <n v="4"/>
    <x v="1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x v="0"/>
    <n v="1680"/>
    <n v="4"/>
    <x v="1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x v="0"/>
    <n v="1681"/>
    <n v="3"/>
    <x v="0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x v="0"/>
    <n v="1682"/>
    <n v="1"/>
    <x v="1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x v="0"/>
    <n v="1683"/>
    <n v="3"/>
    <x v="0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x v="0"/>
    <n v="1684"/>
    <n v="4"/>
    <x v="1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x v="0"/>
    <n v="1687"/>
    <n v="4"/>
    <x v="0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x v="0"/>
    <n v="1689"/>
    <n v="2"/>
    <x v="1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x v="0"/>
    <n v="1691"/>
    <n v="4"/>
    <x v="0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x v="0"/>
    <n v="1692"/>
    <n v="4"/>
    <x v="1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x v="0"/>
    <n v="1693"/>
    <n v="4"/>
    <x v="1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x v="0"/>
    <n v="1694"/>
    <n v="1"/>
    <x v="1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x v="0"/>
    <n v="1696"/>
    <n v="2"/>
    <x v="1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x v="0"/>
    <n v="1697"/>
    <n v="3"/>
    <x v="1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x v="0"/>
    <n v="1698"/>
    <n v="2"/>
    <x v="1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x v="0"/>
    <n v="1700"/>
    <n v="3"/>
    <x v="1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x v="0"/>
    <n v="1701"/>
    <n v="2"/>
    <x v="0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x v="0"/>
    <n v="1702"/>
    <n v="3"/>
    <x v="1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x v="0"/>
    <n v="1703"/>
    <n v="3"/>
    <x v="0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x v="0"/>
    <n v="1704"/>
    <n v="1"/>
    <x v="1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x v="0"/>
    <n v="1706"/>
    <n v="4"/>
    <x v="1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x v="0"/>
    <n v="1707"/>
    <n v="3"/>
    <x v="1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x v="0"/>
    <n v="1708"/>
    <n v="4"/>
    <x v="1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x v="0"/>
    <n v="1709"/>
    <n v="4"/>
    <x v="0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x v="0"/>
    <n v="1710"/>
    <n v="3"/>
    <x v="0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x v="0"/>
    <n v="1712"/>
    <n v="3"/>
    <x v="1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x v="0"/>
    <n v="1714"/>
    <n v="4"/>
    <x v="1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x v="0"/>
    <n v="1716"/>
    <n v="3"/>
    <x v="1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x v="0"/>
    <n v="1718"/>
    <n v="4"/>
    <x v="1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x v="0"/>
    <n v="1719"/>
    <n v="4"/>
    <x v="0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x v="0"/>
    <n v="1720"/>
    <n v="1"/>
    <x v="1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x v="0"/>
    <n v="1721"/>
    <n v="2"/>
    <x v="1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x v="0"/>
    <n v="1722"/>
    <n v="3"/>
    <x v="1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x v="0"/>
    <n v="1724"/>
    <n v="2"/>
    <x v="0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x v="0"/>
    <n v="1725"/>
    <n v="2"/>
    <x v="1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x v="0"/>
    <n v="1727"/>
    <n v="3"/>
    <x v="1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x v="0"/>
    <n v="1728"/>
    <n v="4"/>
    <x v="1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x v="0"/>
    <n v="1729"/>
    <n v="2"/>
    <x v="1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x v="0"/>
    <n v="1731"/>
    <n v="3"/>
    <x v="1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x v="0"/>
    <n v="1732"/>
    <n v="3"/>
    <x v="1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x v="0"/>
    <n v="1733"/>
    <n v="2"/>
    <x v="1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x v="0"/>
    <n v="1734"/>
    <n v="1"/>
    <x v="1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x v="0"/>
    <n v="1735"/>
    <n v="3"/>
    <x v="0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x v="0"/>
    <n v="1736"/>
    <n v="4"/>
    <x v="0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x v="0"/>
    <n v="1737"/>
    <n v="4"/>
    <x v="1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x v="0"/>
    <n v="1739"/>
    <n v="4"/>
    <x v="1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x v="0"/>
    <n v="1740"/>
    <n v="2"/>
    <x v="1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x v="0"/>
    <n v="1744"/>
    <n v="3"/>
    <x v="0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x v="0"/>
    <n v="1745"/>
    <n v="4"/>
    <x v="0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x v="0"/>
    <n v="1746"/>
    <n v="1"/>
    <x v="1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x v="0"/>
    <n v="1747"/>
    <n v="3"/>
    <x v="0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x v="0"/>
    <n v="1749"/>
    <n v="1"/>
    <x v="1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x v="0"/>
    <n v="1751"/>
    <n v="3"/>
    <x v="0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x v="0"/>
    <n v="1752"/>
    <n v="2"/>
    <x v="0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x v="0"/>
    <n v="1753"/>
    <n v="4"/>
    <x v="1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x v="0"/>
    <n v="1754"/>
    <n v="3"/>
    <x v="1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x v="0"/>
    <n v="1755"/>
    <n v="4"/>
    <x v="1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x v="0"/>
    <n v="1756"/>
    <n v="4"/>
    <x v="0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x v="0"/>
    <n v="1757"/>
    <n v="4"/>
    <x v="0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x v="0"/>
    <n v="1758"/>
    <n v="1"/>
    <x v="0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x v="0"/>
    <n v="1760"/>
    <n v="3"/>
    <x v="0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x v="0"/>
    <n v="1761"/>
    <n v="1"/>
    <x v="1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x v="0"/>
    <n v="1762"/>
    <n v="4"/>
    <x v="0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x v="0"/>
    <n v="1763"/>
    <n v="3"/>
    <x v="1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x v="0"/>
    <n v="1764"/>
    <n v="2"/>
    <x v="1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x v="0"/>
    <n v="1766"/>
    <n v="2"/>
    <x v="1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x v="0"/>
    <n v="1767"/>
    <n v="3"/>
    <x v="1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x v="0"/>
    <n v="1768"/>
    <n v="2"/>
    <x v="1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x v="0"/>
    <n v="1770"/>
    <n v="3"/>
    <x v="1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x v="0"/>
    <n v="1771"/>
    <n v="4"/>
    <x v="1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x v="0"/>
    <n v="1772"/>
    <n v="3"/>
    <x v="1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x v="0"/>
    <n v="1774"/>
    <n v="4"/>
    <x v="1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x v="0"/>
    <n v="1775"/>
    <n v="1"/>
    <x v="0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x v="0"/>
    <n v="1778"/>
    <n v="2"/>
    <x v="1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x v="0"/>
    <n v="1779"/>
    <n v="4"/>
    <x v="0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x v="0"/>
    <n v="1780"/>
    <n v="2"/>
    <x v="1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x v="0"/>
    <n v="1782"/>
    <n v="4"/>
    <x v="0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x v="0"/>
    <n v="1783"/>
    <n v="3"/>
    <x v="0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x v="0"/>
    <n v="1784"/>
    <n v="1"/>
    <x v="0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x v="0"/>
    <n v="1786"/>
    <n v="1"/>
    <x v="0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x v="0"/>
    <n v="1787"/>
    <n v="2"/>
    <x v="1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x v="0"/>
    <n v="1789"/>
    <n v="3"/>
    <x v="1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x v="0"/>
    <n v="1790"/>
    <n v="4"/>
    <x v="1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x v="0"/>
    <n v="1792"/>
    <n v="3"/>
    <x v="1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x v="0"/>
    <n v="1794"/>
    <n v="3"/>
    <x v="1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x v="0"/>
    <n v="1797"/>
    <n v="3"/>
    <x v="1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x v="0"/>
    <n v="1798"/>
    <n v="4"/>
    <x v="1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x v="0"/>
    <n v="1799"/>
    <n v="3"/>
    <x v="1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x v="0"/>
    <n v="1800"/>
    <n v="3"/>
    <x v="1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x v="0"/>
    <n v="1801"/>
    <n v="2"/>
    <x v="1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x v="0"/>
    <n v="1802"/>
    <n v="3"/>
    <x v="0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x v="0"/>
    <n v="1803"/>
    <n v="2"/>
    <x v="1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x v="0"/>
    <n v="1804"/>
    <n v="2"/>
    <x v="1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x v="0"/>
    <n v="1805"/>
    <n v="1"/>
    <x v="1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x v="0"/>
    <n v="1807"/>
    <n v="4"/>
    <x v="1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x v="0"/>
    <n v="1809"/>
    <n v="4"/>
    <x v="1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x v="0"/>
    <n v="1812"/>
    <n v="3"/>
    <x v="1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x v="0"/>
    <n v="1813"/>
    <n v="1"/>
    <x v="1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x v="0"/>
    <n v="1814"/>
    <n v="2"/>
    <x v="1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x v="0"/>
    <n v="1815"/>
    <n v="3"/>
    <x v="0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x v="0"/>
    <n v="1816"/>
    <n v="1"/>
    <x v="0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x v="0"/>
    <n v="1818"/>
    <n v="4"/>
    <x v="0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x v="0"/>
    <n v="1821"/>
    <n v="4"/>
    <x v="0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x v="0"/>
    <n v="1822"/>
    <n v="3"/>
    <x v="0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x v="0"/>
    <n v="1823"/>
    <n v="2"/>
    <x v="1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x v="0"/>
    <n v="1824"/>
    <n v="2"/>
    <x v="1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x v="0"/>
    <n v="1826"/>
    <n v="2"/>
    <x v="1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x v="0"/>
    <n v="1827"/>
    <n v="3"/>
    <x v="0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x v="0"/>
    <n v="1829"/>
    <n v="2"/>
    <x v="0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x v="0"/>
    <n v="1830"/>
    <n v="4"/>
    <x v="0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x v="0"/>
    <n v="1833"/>
    <n v="1"/>
    <x v="0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x v="0"/>
    <n v="1834"/>
    <n v="3"/>
    <x v="0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x v="0"/>
    <n v="1835"/>
    <n v="2"/>
    <x v="0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x v="0"/>
    <n v="1836"/>
    <n v="3"/>
    <x v="1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x v="0"/>
    <n v="1837"/>
    <n v="1"/>
    <x v="1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x v="0"/>
    <n v="1839"/>
    <n v="2"/>
    <x v="0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x v="0"/>
    <n v="1842"/>
    <n v="4"/>
    <x v="1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x v="0"/>
    <n v="1844"/>
    <n v="1"/>
    <x v="1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x v="0"/>
    <n v="1845"/>
    <n v="3"/>
    <x v="0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x v="0"/>
    <n v="1847"/>
    <n v="4"/>
    <x v="0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x v="0"/>
    <n v="1849"/>
    <n v="1"/>
    <x v="1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x v="0"/>
    <n v="1850"/>
    <n v="4"/>
    <x v="0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x v="0"/>
    <n v="1852"/>
    <n v="4"/>
    <x v="1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x v="0"/>
    <n v="1853"/>
    <n v="4"/>
    <x v="1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x v="0"/>
    <n v="1854"/>
    <n v="3"/>
    <x v="1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x v="0"/>
    <n v="1856"/>
    <n v="2"/>
    <x v="0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x v="0"/>
    <n v="1857"/>
    <n v="4"/>
    <x v="1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x v="0"/>
    <n v="1858"/>
    <n v="3"/>
    <x v="1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x v="0"/>
    <n v="1859"/>
    <n v="4"/>
    <x v="1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x v="0"/>
    <n v="1860"/>
    <n v="4"/>
    <x v="1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x v="0"/>
    <n v="1862"/>
    <n v="3"/>
    <x v="1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x v="0"/>
    <n v="1863"/>
    <n v="1"/>
    <x v="0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x v="0"/>
    <n v="1864"/>
    <n v="2"/>
    <x v="0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x v="0"/>
    <n v="1865"/>
    <n v="4"/>
    <x v="1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x v="0"/>
    <n v="1866"/>
    <n v="1"/>
    <x v="0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x v="0"/>
    <n v="1867"/>
    <n v="4"/>
    <x v="1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x v="0"/>
    <n v="1868"/>
    <n v="4"/>
    <x v="1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x v="0"/>
    <n v="1869"/>
    <n v="3"/>
    <x v="0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x v="0"/>
    <n v="1870"/>
    <n v="4"/>
    <x v="0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x v="0"/>
    <n v="1871"/>
    <n v="4"/>
    <x v="1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x v="0"/>
    <n v="1873"/>
    <n v="2"/>
    <x v="1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x v="0"/>
    <n v="1875"/>
    <n v="2"/>
    <x v="0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x v="0"/>
    <n v="1876"/>
    <n v="2"/>
    <x v="1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x v="0"/>
    <n v="1878"/>
    <n v="4"/>
    <x v="1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x v="0"/>
    <n v="1880"/>
    <n v="2"/>
    <x v="0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x v="0"/>
    <n v="1881"/>
    <n v="2"/>
    <x v="1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x v="0"/>
    <n v="1882"/>
    <n v="3"/>
    <x v="1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x v="0"/>
    <n v="1883"/>
    <n v="4"/>
    <x v="1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x v="0"/>
    <n v="1885"/>
    <n v="4"/>
    <x v="1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x v="0"/>
    <n v="1886"/>
    <n v="4"/>
    <x v="0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x v="0"/>
    <n v="1888"/>
    <n v="2"/>
    <x v="0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x v="0"/>
    <n v="1890"/>
    <n v="2"/>
    <x v="1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x v="0"/>
    <n v="1892"/>
    <n v="1"/>
    <x v="1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x v="0"/>
    <n v="1893"/>
    <n v="2"/>
    <x v="0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x v="0"/>
    <n v="1898"/>
    <n v="1"/>
    <x v="0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x v="0"/>
    <n v="1900"/>
    <n v="4"/>
    <x v="0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x v="0"/>
    <n v="1903"/>
    <n v="2"/>
    <x v="1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x v="0"/>
    <n v="1905"/>
    <n v="4"/>
    <x v="1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x v="0"/>
    <n v="1907"/>
    <n v="1"/>
    <x v="1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x v="0"/>
    <n v="1908"/>
    <n v="3"/>
    <x v="1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x v="0"/>
    <n v="1909"/>
    <n v="3"/>
    <x v="0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x v="0"/>
    <n v="1911"/>
    <n v="3"/>
    <x v="1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x v="0"/>
    <n v="1912"/>
    <n v="3"/>
    <x v="0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x v="0"/>
    <n v="1915"/>
    <n v="4"/>
    <x v="0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x v="0"/>
    <n v="1916"/>
    <n v="1"/>
    <x v="0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x v="0"/>
    <n v="1918"/>
    <n v="3"/>
    <x v="1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x v="0"/>
    <n v="1922"/>
    <n v="2"/>
    <x v="1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x v="0"/>
    <n v="1924"/>
    <n v="2"/>
    <x v="1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x v="0"/>
    <n v="1927"/>
    <n v="3"/>
    <x v="1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x v="0"/>
    <n v="1928"/>
    <n v="3"/>
    <x v="1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x v="0"/>
    <n v="1929"/>
    <n v="1"/>
    <x v="0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x v="0"/>
    <n v="1931"/>
    <n v="2"/>
    <x v="1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x v="0"/>
    <n v="1932"/>
    <n v="3"/>
    <x v="1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x v="0"/>
    <n v="1933"/>
    <n v="4"/>
    <x v="0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x v="0"/>
    <n v="1934"/>
    <n v="3"/>
    <x v="1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x v="0"/>
    <n v="1935"/>
    <n v="4"/>
    <x v="0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x v="0"/>
    <n v="1936"/>
    <n v="1"/>
    <x v="1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x v="0"/>
    <n v="1937"/>
    <n v="4"/>
    <x v="0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x v="0"/>
    <n v="1938"/>
    <n v="4"/>
    <x v="0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x v="0"/>
    <n v="1939"/>
    <n v="1"/>
    <x v="0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x v="0"/>
    <n v="1940"/>
    <n v="2"/>
    <x v="1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x v="0"/>
    <n v="1941"/>
    <n v="2"/>
    <x v="1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x v="0"/>
    <n v="1943"/>
    <n v="2"/>
    <x v="1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x v="0"/>
    <n v="1944"/>
    <n v="1"/>
    <x v="0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x v="0"/>
    <n v="1945"/>
    <n v="2"/>
    <x v="1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x v="0"/>
    <n v="1947"/>
    <n v="3"/>
    <x v="1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x v="0"/>
    <n v="1948"/>
    <n v="3"/>
    <x v="1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x v="0"/>
    <n v="1949"/>
    <n v="1"/>
    <x v="1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x v="0"/>
    <n v="1950"/>
    <n v="1"/>
    <x v="1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x v="0"/>
    <n v="1951"/>
    <n v="4"/>
    <x v="1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x v="0"/>
    <n v="1952"/>
    <n v="3"/>
    <x v="1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x v="0"/>
    <n v="1954"/>
    <n v="1"/>
    <x v="1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x v="0"/>
    <n v="1955"/>
    <n v="3"/>
    <x v="0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x v="0"/>
    <n v="1956"/>
    <n v="4"/>
    <x v="1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x v="0"/>
    <n v="1960"/>
    <n v="3"/>
    <x v="1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x v="0"/>
    <n v="1961"/>
    <n v="1"/>
    <x v="1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x v="0"/>
    <n v="1962"/>
    <n v="3"/>
    <x v="0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x v="0"/>
    <n v="1965"/>
    <n v="4"/>
    <x v="1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x v="0"/>
    <n v="1966"/>
    <n v="4"/>
    <x v="1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x v="0"/>
    <n v="1967"/>
    <n v="1"/>
    <x v="1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x v="0"/>
    <n v="1968"/>
    <n v="1"/>
    <x v="1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x v="0"/>
    <n v="1969"/>
    <n v="1"/>
    <x v="0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x v="0"/>
    <n v="1970"/>
    <n v="4"/>
    <x v="1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x v="0"/>
    <n v="1971"/>
    <n v="1"/>
    <x v="1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x v="0"/>
    <n v="1972"/>
    <n v="4"/>
    <x v="1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x v="0"/>
    <n v="1973"/>
    <n v="3"/>
    <x v="1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x v="0"/>
    <n v="1974"/>
    <n v="4"/>
    <x v="0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x v="0"/>
    <n v="1975"/>
    <n v="2"/>
    <x v="1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x v="0"/>
    <n v="1976"/>
    <n v="4"/>
    <x v="1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x v="0"/>
    <n v="1979"/>
    <n v="3"/>
    <x v="0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x v="0"/>
    <n v="1980"/>
    <n v="3"/>
    <x v="0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x v="0"/>
    <n v="1981"/>
    <n v="2"/>
    <x v="1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x v="0"/>
    <n v="1982"/>
    <n v="4"/>
    <x v="1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x v="0"/>
    <n v="1985"/>
    <n v="4"/>
    <x v="0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x v="0"/>
    <n v="1986"/>
    <n v="2"/>
    <x v="0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x v="0"/>
    <n v="1987"/>
    <n v="3"/>
    <x v="0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x v="0"/>
    <n v="1989"/>
    <n v="4"/>
    <x v="1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x v="0"/>
    <n v="1992"/>
    <n v="4"/>
    <x v="1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x v="0"/>
    <n v="1993"/>
    <n v="1"/>
    <x v="1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x v="0"/>
    <n v="1994"/>
    <n v="2"/>
    <x v="1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x v="0"/>
    <n v="1995"/>
    <n v="4"/>
    <x v="1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x v="0"/>
    <n v="1996"/>
    <n v="1"/>
    <x v="1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x v="0"/>
    <n v="1997"/>
    <n v="1"/>
    <x v="1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x v="0"/>
    <n v="1998"/>
    <n v="4"/>
    <x v="1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x v="0"/>
    <n v="1999"/>
    <n v="4"/>
    <x v="1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x v="0"/>
    <n v="2000"/>
    <n v="3"/>
    <x v="0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x v="0"/>
    <n v="2003"/>
    <n v="4"/>
    <x v="1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x v="0"/>
    <n v="2007"/>
    <n v="4"/>
    <x v="1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x v="0"/>
    <n v="2008"/>
    <n v="2"/>
    <x v="1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x v="0"/>
    <n v="2009"/>
    <n v="2"/>
    <x v="0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x v="0"/>
    <n v="2010"/>
    <n v="3"/>
    <x v="0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x v="0"/>
    <n v="2012"/>
    <n v="1"/>
    <x v="1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x v="0"/>
    <n v="2013"/>
    <n v="2"/>
    <x v="1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x v="0"/>
    <n v="2014"/>
    <n v="1"/>
    <x v="1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x v="0"/>
    <n v="2015"/>
    <n v="2"/>
    <x v="0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x v="0"/>
    <n v="2016"/>
    <n v="3"/>
    <x v="0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x v="0"/>
    <n v="2017"/>
    <n v="3"/>
    <x v="0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x v="0"/>
    <n v="2018"/>
    <n v="1"/>
    <x v="0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x v="0"/>
    <n v="2019"/>
    <n v="1"/>
    <x v="1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x v="0"/>
    <n v="2020"/>
    <n v="2"/>
    <x v="1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x v="0"/>
    <n v="2021"/>
    <n v="3"/>
    <x v="1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x v="0"/>
    <n v="2022"/>
    <n v="4"/>
    <x v="1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x v="0"/>
    <n v="2023"/>
    <n v="4"/>
    <x v="1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x v="0"/>
    <n v="2024"/>
    <n v="1"/>
    <x v="0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x v="0"/>
    <n v="2025"/>
    <n v="4"/>
    <x v="0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x v="0"/>
    <n v="2026"/>
    <n v="3"/>
    <x v="1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x v="0"/>
    <n v="2027"/>
    <n v="1"/>
    <x v="1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x v="0"/>
    <n v="2031"/>
    <n v="1"/>
    <x v="1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x v="0"/>
    <n v="2032"/>
    <n v="4"/>
    <x v="1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x v="0"/>
    <n v="2034"/>
    <n v="1"/>
    <x v="0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x v="0"/>
    <n v="2035"/>
    <n v="4"/>
    <x v="0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x v="0"/>
    <n v="2036"/>
    <n v="4"/>
    <x v="1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x v="0"/>
    <n v="2037"/>
    <n v="3"/>
    <x v="1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x v="0"/>
    <n v="2038"/>
    <n v="4"/>
    <x v="1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x v="0"/>
    <n v="2040"/>
    <n v="3"/>
    <x v="0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x v="0"/>
    <n v="2041"/>
    <n v="1"/>
    <x v="0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x v="0"/>
    <n v="2044"/>
    <n v="2"/>
    <x v="1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x v="0"/>
    <n v="2045"/>
    <n v="2"/>
    <x v="0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x v="0"/>
    <n v="2046"/>
    <n v="4"/>
    <x v="0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x v="0"/>
    <n v="2048"/>
    <n v="3"/>
    <x v="1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x v="0"/>
    <n v="2049"/>
    <n v="3"/>
    <x v="1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x v="0"/>
    <n v="2051"/>
    <n v="3"/>
    <x v="0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x v="0"/>
    <n v="2052"/>
    <n v="3"/>
    <x v="0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x v="0"/>
    <n v="2053"/>
    <n v="4"/>
    <x v="1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x v="0"/>
    <n v="2054"/>
    <n v="4"/>
    <x v="0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x v="0"/>
    <n v="2055"/>
    <n v="4"/>
    <x v="1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x v="0"/>
    <n v="2056"/>
    <n v="2"/>
    <x v="0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x v="0"/>
    <n v="2057"/>
    <n v="2"/>
    <x v="1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x v="0"/>
    <n v="2060"/>
    <n v="4"/>
    <x v="0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x v="0"/>
    <n v="2061"/>
    <n v="3"/>
    <x v="1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x v="0"/>
    <n v="2062"/>
    <n v="4"/>
    <x v="1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x v="0"/>
    <n v="2064"/>
    <n v="2"/>
    <x v="1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x v="0"/>
    <n v="2065"/>
    <n v="4"/>
    <x v="1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x v="0"/>
    <n v="2068"/>
    <n v="2"/>
    <x v="1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4E58D-3E97-4108-891D-F9F7D0E8C96F}" name="PivotTable4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9:B39" firstHeaderRow="1" firstDataRow="1" firstDataCol="1" rowPageCount="1" colPageCount="1"/>
  <pivotFields count="35">
    <pivotField compact="0" outline="0" showAll="0"/>
    <pivotField axis="axisPage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item="1" hier="-1"/>
  </pageFields>
  <dataFields count="1">
    <dataField name="Employee Count" fld="8" subtotal="count" baseField="0" baseItem="0"/>
  </dataFields>
  <formats count="1">
    <format dxfId="10">
      <pivotArea outline="0" fieldPosition="0">
        <references count="1">
          <reference field="15" count="0" selected="0"/>
        </references>
      </pivotArea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A3A3F-14F7-40F8-AABA-8C08FB2CDDEA}" name="PivotTable3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8:D23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Count" fld="8" subtotal="count" baseField="0" baseItem="0"/>
  </dataFields>
  <formats count="3">
    <format dxfId="7">
      <pivotArea outline="0" fieldPosition="0">
        <references count="1">
          <reference field="4" count="0" selected="0"/>
        </references>
      </pivotArea>
    </format>
    <format dxfId="8">
      <pivotArea grandRow="1" grandCol="1" outline="0" collapsedLevelsAreSubtotals="1" fieldPosition="0"/>
    </format>
    <format dxfId="9">
      <pivotArea field="1" grandRow="1" outline="0" axis="axisCol" fieldPosition="0">
        <references count="1">
          <reference field="1" count="1" selected="0">
            <x v="0"/>
          </reference>
        </references>
      </pivotArea>
    </format>
  </formats>
  <chartFormats count="8"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6AF21-256A-40CD-AAE0-AC6818D76E46}" name="PivotTable9" cacheId="557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compact="0" compactData="0" multipleFieldFilters="0" chartFormat="8">
  <location ref="A43:C47" firstHeaderRow="1" firstDataRow="2" firstDataCol="1"/>
  <pivotFields count="35"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2">
    <i>
      <x/>
    </i>
    <i>
      <x v="1"/>
    </i>
  </colItems>
  <dataFields count="1">
    <dataField name="Count of EmployeeCount" fld="8" subtotal="count" baseField="0" baseItem="0"/>
  </dataFields>
  <chartFormats count="9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2916F-94EF-487C-A119-9191913BCBCD}" name="PivotTable8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0:A61" firstHeaderRow="1" firstDataRow="1" firstDataCol="0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YearsAtCompany" fld="31" subtotal="average" baseField="0" baseItem="0" numFmtId="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028D2-25FE-48F4-8516-29FC525B31B9}" name="PivotTable2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:B11" firstHeaderRow="1" firstDataRow="1" firstDataCol="1"/>
  <pivotFields count="35">
    <pivotField compact="0" outline="0" showAll="0"/>
    <pivotField axis="axisRow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formats count="2">
    <format dxfId="4">
      <pivotArea outline="0" fieldPosition="0">
        <references count="1">
          <reference field="1" count="0" selected="0"/>
        </references>
      </pivotArea>
    </format>
    <format dxfId="5">
      <pivotArea outline="0" fieldPosition="0">
        <references count="1">
          <reference field="1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EC7F5-FF95-4954-944C-F0AD0FAA1967}" name="PivotTable7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A56" firstHeaderRow="1" firstDataRow="1" firstDataCol="0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MonthlyIncome" fld="18" subtotal="average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AF25E-0091-4ED5-90DB-8E1DD1132939}" name="PivotTable1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Total Employees" fld="9" subtotal="count" baseField="0" baseItem="0" numFmtId="165"/>
  </dataFields>
  <formats count="2">
    <format dxfId="1">
      <pivotArea outline="0" collapsedLevelsAreSubtotals="1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46851-CF3E-4069-9E7A-8BAEF9C31EA3}" name="PivotTable6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0:A51" firstHeaderRow="1" firstDataRow="1" firstDataCol="0"/>
  <pivotFields count="3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Age" fld="0" subtotal="average" baseField="0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A29CD1B9-5E05-4E93-84CC-A9D4FDD6593F}" sourceName="Department">
  <pivotTables>
    <pivotTable tabId="3" name="PivotTable3"/>
    <pivotTable tabId="3" name="PivotTable1"/>
    <pivotTable tabId="3" name="PivotTable2"/>
    <pivotTable tabId="3" name="PivotTable4"/>
    <pivotTable tabId="3" name="PivotTable6"/>
    <pivotTable tabId="3" name="PivotTable8"/>
    <pivotTable tabId="3" name="PivotTable7"/>
    <pivotTable tabId="3" name="PivotTable9"/>
  </pivotTables>
  <data>
    <tabular pivotCacheId="1620035212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FA9B3CE4-A8A5-4842-9974-F1BE8B044137}" sourceName="Gender">
  <pivotTables>
    <pivotTable tabId="3" name="PivotTable3"/>
    <pivotTable tabId="3" name="PivotTable9"/>
    <pivotTable tabId="3" name="PivotTable8"/>
    <pivotTable tabId="3" name="PivotTable7"/>
    <pivotTable tabId="3" name="PivotTable6"/>
    <pivotTable tabId="3" name="PivotTable4"/>
    <pivotTable tabId="3" name="PivotTable2"/>
    <pivotTable tabId="3" name="PivotTable1"/>
  </pivotTables>
  <data>
    <tabular pivotCacheId="1620035212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JobRole" xr10:uid="{526998FB-8FD5-44DB-950E-05C22D38EE00}" sourceName="JobRole">
  <pivotTables>
    <pivotTable tabId="3" name="PivotTable3"/>
    <pivotTable tabId="3" name="PivotTable9"/>
    <pivotTable tabId="3" name="PivotTable8"/>
    <pivotTable tabId="3" name="PivotTable7"/>
    <pivotTable tabId="3" name="PivotTable6"/>
    <pivotTable tabId="3" name="PivotTable4"/>
    <pivotTable tabId="3" name="PivotTable2"/>
    <pivotTable tabId="3" name="PivotTable1"/>
  </pivotTables>
  <data>
    <tabular pivotCacheId="1620035212">
      <items count="9">
        <i x="4" s="1"/>
        <i x="8" s="1"/>
        <i x="2" s="1"/>
        <i x="5" s="1"/>
        <i x="3" s="1"/>
        <i x="7" s="1"/>
        <i x="1" s="1"/>
        <i x="0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 1" xr10:uid="{FDECF4E6-3834-4578-8E71-56CD0E98DDBF}" cache="Slicer_Department" caption="Department" rowHeight="276225"/>
  <slicer name="Gender 1" xr10:uid="{038FBB83-F395-43E7-9290-E98FBFE8D1F5}" cache="Slicer_Gender" caption="Gender" rowHeight="276225"/>
  <slicer name="JobRole 1" xr10:uid="{21A4B549-EF87-42C6-A1AB-13C686C29C45}" cache="Slicer_JobRole" caption="JobRole" columnCount="2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C3D655BD-A1B4-4B79-A8EB-200D2834D4BE}" cache="Slicer_Department" caption="Department" rowHeight="228600"/>
  <slicer name="Gender" xr10:uid="{223C8CDD-7662-4A6B-BD85-DA86DCB2D3CC}" cache="Slicer_Gender" caption="Gender" rowHeight="228600"/>
  <slicer name="JobRole" xr10:uid="{35208B49-909E-48FE-A377-09B6554D81E6}" cache="Slicer_JobRole" caption="JobRol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7B7B67-1907-40F1-8F01-82A929051337}" name="Employees" displayName="Employees" ref="A1:AI1471" totalsRowShown="0">
  <autoFilter ref="A1:AI1471" xr:uid="{447B7B67-1907-40F1-8F01-82A929051337}"/>
  <tableColumns count="35">
    <tableColumn id="1" xr3:uid="{1DA3A0B8-9186-4EAC-A4B6-4007E663487B}" name="Age"/>
    <tableColumn id="2" xr3:uid="{32DEF107-9941-4712-BCFD-C2432325B1D7}" name="Attrition"/>
    <tableColumn id="3" xr3:uid="{D2F2E291-F726-48B5-95AA-B3B7A91D321C}" name="BusinessTravel"/>
    <tableColumn id="4" xr3:uid="{4ECCF68C-A732-48D8-A0C5-3897FC4A0024}" name="DailyRate"/>
    <tableColumn id="5" xr3:uid="{1791B698-54E7-4B7C-A48D-D269AEFA136A}" name="Department"/>
    <tableColumn id="6" xr3:uid="{56BE4B2A-DFAF-4285-8145-E90626FC5378}" name="DistanceFromHome"/>
    <tableColumn id="7" xr3:uid="{7BF4EEEC-9C80-42E4-95CA-E9A757263EF7}" name="Education"/>
    <tableColumn id="8" xr3:uid="{DAAB170E-18E7-48B0-ADCA-E13307CD92AF}" name="EducationField"/>
    <tableColumn id="9" xr3:uid="{8EBF7A1F-8FD2-40D7-A60D-4E6AE1498C5D}" name="EmployeeCount"/>
    <tableColumn id="10" xr3:uid="{CE513552-A2B9-4B41-A764-F6BD111237F5}" name="EmployeeNumber"/>
    <tableColumn id="11" xr3:uid="{8526705F-547C-43D1-9A8B-14E8EF60E86E}" name="EnvironmentSatisfaction"/>
    <tableColumn id="12" xr3:uid="{C04DF1A4-BA3B-416D-9757-F9CC740EB1F5}" name="Gender"/>
    <tableColumn id="13" xr3:uid="{827C3189-4E6F-4E36-8640-E7BD92D9F042}" name="HourlyRate"/>
    <tableColumn id="14" xr3:uid="{414E0F19-0237-4FE0-B262-CD7839A6925C}" name="JobInvolvement"/>
    <tableColumn id="15" xr3:uid="{A3866125-90B7-41E4-8BD6-C02D3A4A660F}" name="JobLevel"/>
    <tableColumn id="16" xr3:uid="{CAADCE3F-F9EF-4724-993D-5E7EBE5F51DA}" name="JobRole"/>
    <tableColumn id="17" xr3:uid="{18AE1721-1D08-4AAC-8FF2-B8D10D2FADB8}" name="JobSatisfaction"/>
    <tableColumn id="18" xr3:uid="{4022DE44-DC0F-47F0-9184-AF1866786CEC}" name="MaritalStatus"/>
    <tableColumn id="19" xr3:uid="{17BF4877-05CD-45DA-BA0E-2741C1D85DBB}" name="MonthlyIncome"/>
    <tableColumn id="20" xr3:uid="{0ACF6BC5-238E-4688-B15B-A65F81D2E53A}" name="MonthlyRate"/>
    <tableColumn id="21" xr3:uid="{7BB5B801-D4B4-4D19-BB9A-89C514658F33}" name="NumCompaniesWorked"/>
    <tableColumn id="22" xr3:uid="{3724FCB4-20F9-404C-B0BF-159A6E63C2C5}" name="Over18"/>
    <tableColumn id="23" xr3:uid="{30AD0851-EA76-4611-8D7D-0C81BF2F386C}" name="OverTime"/>
    <tableColumn id="24" xr3:uid="{76B71ADC-06CE-4AA7-BFD3-4CB6A503C714}" name="PercentSalaryHike"/>
    <tableColumn id="25" xr3:uid="{70C49612-6863-42CB-BEE5-16C5E45BE025}" name="PerformanceRating"/>
    <tableColumn id="26" xr3:uid="{54FB9AF3-F58E-402C-890C-DB5036FCD719}" name="RelationshipSatisfaction"/>
    <tableColumn id="27" xr3:uid="{D356A770-0BE7-4DAE-940F-056DA598303E}" name="StandardHours"/>
    <tableColumn id="28" xr3:uid="{C6953CCB-BC50-4ADD-B173-EA40EE9621EA}" name="StockOptionLevel"/>
    <tableColumn id="29" xr3:uid="{A439497C-AEB8-4E4C-94DD-DE712C03FDAB}" name="TotalWorkingYears"/>
    <tableColumn id="30" xr3:uid="{C61A851F-3817-45C2-91FD-FD07EF68C893}" name="TrainingTimesLastYear"/>
    <tableColumn id="31" xr3:uid="{A77900A5-8836-42F5-85BB-CBE81A83897F}" name="WorkLifeBalance"/>
    <tableColumn id="32" xr3:uid="{14B85AD8-1B7E-4A69-9DFC-2F38F0922F3E}" name="YearsAtCompany"/>
    <tableColumn id="33" xr3:uid="{A0C80467-652C-46BB-BD78-91190E97023F}" name="YearsInCurrentRole"/>
    <tableColumn id="34" xr3:uid="{F2B31CC8-A0AD-4722-A98E-CF235738C6E9}" name="YearsSinceLastPromotion"/>
    <tableColumn id="35" xr3:uid="{E3ABB564-AB90-4F13-83A6-D1A08909ECD1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2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7BBB-412E-43F6-A5B8-5EF321923E22}">
  <dimension ref="A1:AI1471"/>
  <sheetViews>
    <sheetView workbookViewId="0">
      <selection activeCell="H6" sqref="H6"/>
    </sheetView>
  </sheetViews>
  <sheetFormatPr defaultRowHeight="15"/>
  <cols>
    <col min="2" max="2" width="11.140625" bestFit="1" customWidth="1"/>
    <col min="3" max="3" width="17.5703125" bestFit="1" customWidth="1"/>
    <col min="4" max="4" width="12" bestFit="1" customWidth="1"/>
    <col min="5" max="5" width="24" bestFit="1" customWidth="1"/>
    <col min="6" max="6" width="21.28515625" bestFit="1" customWidth="1"/>
    <col min="7" max="7" width="12.28515625" bestFit="1" customWidth="1"/>
    <col min="8" max="8" width="17" bestFit="1" customWidth="1"/>
    <col min="9" max="9" width="17.7109375" bestFit="1" customWidth="1"/>
    <col min="10" max="10" width="19.85546875" bestFit="1" customWidth="1"/>
    <col min="11" max="11" width="25.7109375" bestFit="1" customWidth="1"/>
    <col min="12" max="12" width="10" bestFit="1" customWidth="1"/>
    <col min="13" max="13" width="13.42578125" bestFit="1" customWidth="1"/>
    <col min="14" max="14" width="17.85546875" bestFit="1" customWidth="1"/>
    <col min="15" max="15" width="11" bestFit="1" customWidth="1"/>
    <col min="16" max="16" width="25.140625" bestFit="1" customWidth="1"/>
    <col min="17" max="17" width="17" bestFit="1" customWidth="1"/>
    <col min="18" max="18" width="15.7109375" bestFit="1" customWidth="1"/>
    <col min="19" max="19" width="17.7109375" bestFit="1" customWidth="1"/>
    <col min="20" max="20" width="15.140625" bestFit="1" customWidth="1"/>
    <col min="21" max="21" width="25.140625" bestFit="1" customWidth="1"/>
    <col min="22" max="22" width="9.85546875" bestFit="1" customWidth="1"/>
    <col min="23" max="23" width="12.140625" bestFit="1" customWidth="1"/>
    <col min="24" max="24" width="20" bestFit="1" customWidth="1"/>
    <col min="25" max="25" width="20.85546875" bestFit="1" customWidth="1"/>
    <col min="26" max="26" width="25.42578125" bestFit="1" customWidth="1"/>
    <col min="27" max="27" width="16.85546875" bestFit="1" customWidth="1"/>
    <col min="28" max="28" width="19.140625" bestFit="1" customWidth="1"/>
    <col min="29" max="29" width="20.7109375" bestFit="1" customWidth="1"/>
    <col min="30" max="30" width="24" bestFit="1" customWidth="1"/>
    <col min="31" max="31" width="18.5703125" bestFit="1" customWidth="1"/>
    <col min="32" max="32" width="18.85546875" bestFit="1" customWidth="1"/>
    <col min="33" max="33" width="21" bestFit="1" customWidth="1"/>
    <col min="34" max="34" width="26.42578125" bestFit="1" customWidth="1"/>
    <col min="35" max="35" width="24.855468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8CFC-5602-4EDD-ABE6-21B097EC3EAC}">
  <dimension ref="A1:N45"/>
  <sheetViews>
    <sheetView showGridLines="0" tabSelected="1" topLeftCell="B28" workbookViewId="0">
      <selection activeCell="K38" sqref="K38"/>
    </sheetView>
  </sheetViews>
  <sheetFormatPr defaultRowHeight="15"/>
  <cols>
    <col min="2" max="2" width="42.28515625" bestFit="1" customWidth="1"/>
    <col min="3" max="3" width="20" customWidth="1"/>
    <col min="4" max="4" width="34.28515625" bestFit="1" customWidth="1"/>
    <col min="5" max="5" width="16.85546875" customWidth="1"/>
    <col min="6" max="6" width="52.42578125" bestFit="1" customWidth="1"/>
    <col min="11" max="11" width="51.28515625" bestFit="1" customWidth="1"/>
  </cols>
  <sheetData>
    <row r="1" spans="1:14" ht="46.5">
      <c r="A1" s="23" t="s">
        <v>62</v>
      </c>
      <c r="B1" s="23"/>
      <c r="C1" s="23"/>
      <c r="D1" s="23"/>
      <c r="E1" s="23"/>
      <c r="F1" s="23"/>
      <c r="G1" s="23"/>
      <c r="H1" s="23"/>
      <c r="I1" s="11"/>
      <c r="J1" s="11"/>
      <c r="K1" s="10"/>
      <c r="L1" s="10"/>
      <c r="M1" s="10"/>
      <c r="N1" s="10"/>
    </row>
    <row r="3" spans="1:14" ht="23.25">
      <c r="B3" s="13" t="s">
        <v>63</v>
      </c>
      <c r="C3" s="2"/>
      <c r="D3" s="13" t="s">
        <v>64</v>
      </c>
      <c r="E3" s="2"/>
      <c r="F3" s="13" t="s">
        <v>65</v>
      </c>
    </row>
    <row r="4" spans="1:14" ht="23.25">
      <c r="B4" s="17">
        <f>'Pivot Tables'!A4</f>
        <v>1470</v>
      </c>
      <c r="C4" s="2"/>
      <c r="D4" s="18">
        <f>'Pivot Tables'!B14</f>
        <v>0.16122448979591836</v>
      </c>
      <c r="E4" s="2"/>
      <c r="F4" s="20">
        <f>'Pivot Tables'!A56</f>
        <v>6502.931292517007</v>
      </c>
    </row>
    <row r="5" spans="1:14">
      <c r="B5" s="2"/>
      <c r="C5" s="2"/>
      <c r="D5" s="2"/>
      <c r="E5" s="2"/>
      <c r="F5" s="2"/>
    </row>
    <row r="6" spans="1:14" ht="23.25">
      <c r="B6" s="13" t="s">
        <v>66</v>
      </c>
      <c r="C6" s="2"/>
      <c r="E6" s="2"/>
      <c r="F6" s="12" t="s">
        <v>67</v>
      </c>
    </row>
    <row r="7" spans="1:14" ht="23.25">
      <c r="B7" s="19">
        <f>'Pivot Tables'!A51</f>
        <v>36.923809523809524</v>
      </c>
      <c r="C7" s="2"/>
      <c r="E7" s="2"/>
      <c r="F7" s="19">
        <f>'Pivot Tables'!A61</f>
        <v>7.0081632653061225</v>
      </c>
    </row>
    <row r="16" spans="1:14">
      <c r="C16" s="16"/>
    </row>
    <row r="38" spans="3:8">
      <c r="C38" s="15"/>
    </row>
    <row r="39" spans="3:8">
      <c r="C39" s="15"/>
    </row>
    <row r="40" spans="3:8">
      <c r="C40" s="15"/>
    </row>
    <row r="41" spans="3:8" ht="18.75" customHeight="1">
      <c r="C41" s="15"/>
    </row>
    <row r="42" spans="3:8" ht="30.75" customHeight="1">
      <c r="C42" s="15"/>
      <c r="H42" s="22"/>
    </row>
    <row r="43" spans="3:8" ht="18.75" customHeight="1">
      <c r="C43" s="15"/>
      <c r="H43" s="22"/>
    </row>
    <row r="44" spans="3:8" ht="15" customHeight="1">
      <c r="C44" s="15"/>
    </row>
    <row r="45" spans="3:8" ht="15" customHeight="1">
      <c r="C45" s="15"/>
    </row>
  </sheetData>
  <mergeCells count="1">
    <mergeCell ref="A1:H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B6EE-8EBE-43A1-808D-C474FAAEECBD}">
  <dimension ref="A3:G61"/>
  <sheetViews>
    <sheetView topLeftCell="A49" workbookViewId="0">
      <selection activeCell="A18" sqref="A18:D23"/>
    </sheetView>
  </sheetViews>
  <sheetFormatPr defaultRowHeight="15"/>
  <cols>
    <col min="1" max="1" width="26" bestFit="1" customWidth="1"/>
    <col min="2" max="2" width="15.85546875" bestFit="1" customWidth="1"/>
    <col min="3" max="3" width="4.42578125" bestFit="1" customWidth="1"/>
    <col min="4" max="4" width="11.7109375" bestFit="1" customWidth="1"/>
    <col min="5" max="5" width="13" bestFit="1" customWidth="1"/>
    <col min="6" max="6" width="9.7109375" bestFit="1" customWidth="1"/>
    <col min="7" max="7" width="13" bestFit="1" customWidth="1"/>
  </cols>
  <sheetData>
    <row r="3" spans="1:2">
      <c r="A3" t="s">
        <v>68</v>
      </c>
    </row>
    <row r="4" spans="1:2">
      <c r="A4" s="21">
        <v>1470</v>
      </c>
    </row>
    <row r="8" spans="1:2">
      <c r="A8" s="1" t="s">
        <v>1</v>
      </c>
      <c r="B8" t="s">
        <v>69</v>
      </c>
    </row>
    <row r="9" spans="1:2">
      <c r="A9" t="s">
        <v>43</v>
      </c>
      <c r="B9" s="21">
        <v>1233</v>
      </c>
    </row>
    <row r="10" spans="1:2">
      <c r="A10" t="s">
        <v>35</v>
      </c>
      <c r="B10" s="25">
        <v>237</v>
      </c>
    </row>
    <row r="11" spans="1:2">
      <c r="A11" t="s">
        <v>70</v>
      </c>
      <c r="B11" s="24">
        <v>1470</v>
      </c>
    </row>
    <row r="12" spans="1:2">
      <c r="A12" t="s">
        <v>71</v>
      </c>
      <c r="B12" s="3">
        <f>B10</f>
        <v>237</v>
      </c>
    </row>
    <row r="13" spans="1:2">
      <c r="A13" t="s">
        <v>72</v>
      </c>
      <c r="B13" s="8">
        <f>B11</f>
        <v>1470</v>
      </c>
    </row>
    <row r="14" spans="1:2">
      <c r="A14" t="s">
        <v>73</v>
      </c>
      <c r="B14" s="4">
        <f>B12/B13</f>
        <v>0.16122448979591836</v>
      </c>
    </row>
    <row r="18" spans="1:5">
      <c r="A18" s="1" t="s">
        <v>74</v>
      </c>
      <c r="B18" s="1" t="s">
        <v>1</v>
      </c>
    </row>
    <row r="19" spans="1:5">
      <c r="A19" s="1" t="s">
        <v>4</v>
      </c>
      <c r="B19" t="s">
        <v>43</v>
      </c>
      <c r="C19" t="s">
        <v>35</v>
      </c>
      <c r="D19" t="s">
        <v>70</v>
      </c>
      <c r="E19" s="5" t="s">
        <v>75</v>
      </c>
    </row>
    <row r="20" spans="1:5">
      <c r="A20" t="s">
        <v>61</v>
      </c>
      <c r="B20" s="25">
        <v>51</v>
      </c>
      <c r="C20" s="25">
        <v>12</v>
      </c>
      <c r="D20" s="25">
        <v>63</v>
      </c>
      <c r="E20" s="4">
        <f>C20/D20</f>
        <v>0.19047619047619047</v>
      </c>
    </row>
    <row r="21" spans="1:5">
      <c r="A21" t="s">
        <v>45</v>
      </c>
      <c r="B21" s="25">
        <v>828</v>
      </c>
      <c r="C21" s="25">
        <v>133</v>
      </c>
      <c r="D21" s="25">
        <v>961</v>
      </c>
      <c r="E21" s="4">
        <f>C21/D21</f>
        <v>0.13839750260145681</v>
      </c>
    </row>
    <row r="22" spans="1:5">
      <c r="A22" t="s">
        <v>37</v>
      </c>
      <c r="B22" s="25">
        <v>354</v>
      </c>
      <c r="C22" s="25">
        <v>92</v>
      </c>
      <c r="D22" s="25">
        <v>446</v>
      </c>
      <c r="E22" s="4">
        <f>C22/D22</f>
        <v>0.20627802690582961</v>
      </c>
    </row>
    <row r="23" spans="1:5">
      <c r="A23" t="s">
        <v>70</v>
      </c>
      <c r="B23" s="9">
        <v>1233</v>
      </c>
      <c r="C23" s="24">
        <v>237</v>
      </c>
      <c r="D23" s="9">
        <v>1470</v>
      </c>
    </row>
    <row r="27" spans="1:5">
      <c r="A27" s="1" t="s">
        <v>1</v>
      </c>
      <c r="B27" t="s">
        <v>35</v>
      </c>
    </row>
    <row r="29" spans="1:5">
      <c r="A29" s="1" t="s">
        <v>15</v>
      </c>
      <c r="B29" t="s">
        <v>76</v>
      </c>
    </row>
    <row r="30" spans="1:5">
      <c r="A30" t="s">
        <v>54</v>
      </c>
      <c r="B30" s="25">
        <v>9</v>
      </c>
    </row>
    <row r="31" spans="1:5">
      <c r="A31" t="s">
        <v>61</v>
      </c>
      <c r="B31" s="25">
        <v>12</v>
      </c>
    </row>
    <row r="32" spans="1:5">
      <c r="A32" t="s">
        <v>50</v>
      </c>
      <c r="B32" s="25">
        <v>62</v>
      </c>
    </row>
    <row r="33" spans="1:7">
      <c r="A33" t="s">
        <v>56</v>
      </c>
      <c r="B33" s="25">
        <v>5</v>
      </c>
    </row>
    <row r="34" spans="1:7">
      <c r="A34" t="s">
        <v>53</v>
      </c>
      <c r="B34" s="25">
        <v>10</v>
      </c>
    </row>
    <row r="35" spans="1:7">
      <c r="A35" t="s">
        <v>58</v>
      </c>
      <c r="B35" s="25">
        <v>2</v>
      </c>
    </row>
    <row r="36" spans="1:7">
      <c r="A36" t="s">
        <v>47</v>
      </c>
      <c r="B36" s="25">
        <v>47</v>
      </c>
    </row>
    <row r="37" spans="1:7">
      <c r="A37" t="s">
        <v>40</v>
      </c>
      <c r="B37" s="25">
        <v>57</v>
      </c>
    </row>
    <row r="38" spans="1:7">
      <c r="A38" t="s">
        <v>57</v>
      </c>
      <c r="B38" s="25">
        <v>33</v>
      </c>
    </row>
    <row r="39" spans="1:7">
      <c r="A39" t="s">
        <v>70</v>
      </c>
      <c r="B39" s="24">
        <v>237</v>
      </c>
    </row>
    <row r="43" spans="1:7">
      <c r="A43" s="1" t="s">
        <v>74</v>
      </c>
      <c r="B43" s="1" t="s">
        <v>1</v>
      </c>
    </row>
    <row r="44" spans="1:7">
      <c r="A44" s="1" t="s">
        <v>22</v>
      </c>
      <c r="B44" t="s">
        <v>43</v>
      </c>
      <c r="C44" t="s">
        <v>35</v>
      </c>
      <c r="D44" t="s">
        <v>75</v>
      </c>
      <c r="E44" s="2"/>
      <c r="F44" t="s">
        <v>22</v>
      </c>
      <c r="G44" s="14" t="s">
        <v>75</v>
      </c>
    </row>
    <row r="45" spans="1:7">
      <c r="A45" t="s">
        <v>43</v>
      </c>
      <c r="B45" s="24">
        <v>944</v>
      </c>
      <c r="C45" s="24">
        <v>110</v>
      </c>
      <c r="D45" s="14">
        <f>C45/(B45+C45)</f>
        <v>0.10436432637571158</v>
      </c>
      <c r="E45" s="14"/>
      <c r="F45" t="s">
        <v>43</v>
      </c>
      <c r="G45" s="14">
        <f>D45</f>
        <v>0.10436432637571158</v>
      </c>
    </row>
    <row r="46" spans="1:7">
      <c r="A46" t="s">
        <v>35</v>
      </c>
      <c r="B46" s="24">
        <v>289</v>
      </c>
      <c r="C46" s="24">
        <v>127</v>
      </c>
      <c r="D46" s="14">
        <f>C46/(B46+C46)</f>
        <v>0.30528846153846156</v>
      </c>
      <c r="E46" s="14"/>
      <c r="F46" t="s">
        <v>35</v>
      </c>
      <c r="G46" s="14">
        <f>D46</f>
        <v>0.30528846153846156</v>
      </c>
    </row>
    <row r="47" spans="1:7">
      <c r="A47" t="s">
        <v>70</v>
      </c>
      <c r="B47" s="24">
        <v>1233</v>
      </c>
      <c r="C47" s="24">
        <v>237</v>
      </c>
    </row>
    <row r="50" spans="1:7">
      <c r="A50" t="s">
        <v>77</v>
      </c>
    </row>
    <row r="51" spans="1:7">
      <c r="A51" s="6">
        <v>36.923809523809524</v>
      </c>
    </row>
    <row r="52" spans="1:7">
      <c r="G52" s="14"/>
    </row>
    <row r="53" spans="1:7">
      <c r="G53" s="14"/>
    </row>
    <row r="54" spans="1:7">
      <c r="G54" s="14"/>
    </row>
    <row r="55" spans="1:7">
      <c r="A55" t="s">
        <v>78</v>
      </c>
      <c r="G55" s="14"/>
    </row>
    <row r="56" spans="1:7">
      <c r="A56" s="7">
        <v>6502.931292517007</v>
      </c>
    </row>
    <row r="60" spans="1:7">
      <c r="A60" t="s">
        <v>79</v>
      </c>
    </row>
    <row r="61" spans="1:7">
      <c r="A61" s="6">
        <v>7.0081632653061225</v>
      </c>
    </row>
  </sheetData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2026-07-22T18:18:49Z</dcterms:created>
  <dcterms:modified xsi:type="dcterms:W3CDTF">2026-07-23T03:15:02Z</dcterms:modified>
  <cp:category/>
  <cp:contentStatus/>
</cp:coreProperties>
</file>